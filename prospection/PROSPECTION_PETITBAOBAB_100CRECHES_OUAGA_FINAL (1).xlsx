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ion 100 Crèches" sheetId="1" state="visible" r:id="rId3"/>
    <sheet name="Tableau de bord" sheetId="2" state="visible" r:id="rId4"/>
    <sheet name="Légende &amp; Terrain" sheetId="3" state="visible" r:id="rId5"/>
  </sheets>
  <definedNames>
    <definedName function="false" hidden="true" localSheetId="0" name="_xlnm._FilterDatabase" vbProcedure="false">'Prospection 100 Crèches'!$A$2:$U$102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<sst xmlns="http://schemas.openxmlformats.org/spreadsheetml/2006/main" count="1246" uniqueCount="558">
  <si>
    <t xml:space="preserve">🌳  PROSPECTION PETIT BAOBAB — 100 CRÈCHES · OUAGADOUGOU · Mis à jour Juillet 2026</t>
  </si>
  <si>
    <t xml:space="preserve">ID</t>
  </si>
  <si>
    <t xml:space="preserve">Nom École / Crèche</t>
  </si>
  <si>
    <t xml:space="preserve">Quartier / Localisation précise</t>
  </si>
  <si>
    <t xml:space="preserve">Arrondissement</t>
  </si>
  <si>
    <t xml:space="preserve">Type</t>
  </si>
  <si>
    <t xml:space="preserve">Nb Élèves</t>
  </si>
  <si>
    <t xml:space="preserve">Priorité</t>
  </si>
  <si>
    <t xml:space="preserve">Nom Directeur/trice</t>
  </si>
  <si>
    <t xml:space="preserve">Tél 1 (Dir/WhatsApp)</t>
  </si>
  <si>
    <t xml:space="preserve">Tél 2 (Secrétariat)</t>
  </si>
  <si>
    <t xml:space="preserve">Email / Réseaux</t>
  </si>
  <si>
    <t xml:space="preserve">STATUT</t>
  </si>
  <si>
    <t xml:space="preserve">Date 1er Contact</t>
  </si>
  <si>
    <t xml:space="preserve">Méthode Contact</t>
  </si>
  <si>
    <t xml:space="preserve">Notes &amp; Approche</t>
  </si>
  <si>
    <t xml:space="preserve">Date RDV Démo</t>
  </si>
  <si>
    <t xml:space="preserve">Prof Référent</t>
  </si>
  <si>
    <t xml:space="preserve">Retour Démo</t>
  </si>
  <si>
    <t xml:space="preserve">Objection</t>
  </si>
  <si>
    <t xml:space="preserve">Prochaine Action</t>
  </si>
  <si>
    <t xml:space="preserve">Commentaire Final</t>
  </si>
  <si>
    <t xml:space="preserve">001</t>
  </si>
  <si>
    <t xml:space="preserve">Sheri Kidz Cottage Crèche-Maternelle</t>
  </si>
  <si>
    <t xml:space="preserve">Cité Azimmo, Ouaga 2000</t>
  </si>
  <si>
    <t xml:space="preserve">Boulmiougou</t>
  </si>
  <si>
    <t xml:space="preserve">Privé · Crèche/Maternelle/Primaire</t>
  </si>
  <si>
    <t xml:space="preserve">A</t>
  </si>
  <si>
    <t xml:space="preserve">À identifier</t>
  </si>
  <si>
    <t xml:space="preserve">61 37 92 55</t>
  </si>
  <si>
    <t xml:space="preserve">FB: Sherikidz</t>
  </si>
  <si>
    <t xml:space="preserve">À contacter</t>
  </si>
  <si>
    <t xml:space="preserve">Porte à porte</t>
  </si>
  <si>
    <t xml:space="preserve">✅ Confirmée. Source FB/annuaire. Complexe complet. Zone premium Azimmo.</t>
  </si>
  <si>
    <t xml:space="preserve">Visiter sem.1</t>
  </si>
  <si>
    <t xml:space="preserve">002</t>
  </si>
  <si>
    <t xml:space="preserve">Rayan Garden</t>
  </si>
  <si>
    <t xml:space="preserve">388 Cité Azimmo, Secteur 16</t>
  </si>
  <si>
    <t xml:space="preserve">Privé · Crèche/Maternelle</t>
  </si>
  <si>
    <t xml:space="preserve">77 94 73 63</t>
  </si>
  <si>
    <t xml:space="preserve">72 09 01 23</t>
  </si>
  <si>
    <t xml:space="preserve">✅ Confirmée. Source annuaire. Même tournée que Sheri Kidz. Appeler d'abord.</t>
  </si>
  <si>
    <t xml:space="preserve">Appeler sem.1</t>
  </si>
  <si>
    <t xml:space="preserve">003</t>
  </si>
  <si>
    <t xml:space="preserve">Crèche privée La Colombe</t>
  </si>
  <si>
    <t xml:space="preserve">Sect.16 Cité Azimmo Ouaga 2000, Villa 92</t>
  </si>
  <si>
    <t xml:space="preserve">Privé · Crèche</t>
  </si>
  <si>
    <t xml:space="preserve">78 55 59 55</t>
  </si>
  <si>
    <t xml:space="preserve">Appel d'abord</t>
  </si>
  <si>
    <t xml:space="preserve">✅ Confirmée. Source expat.com. Adresse précise villa 92 Azimmo.</t>
  </si>
  <si>
    <t xml:space="preserve">004</t>
  </si>
  <si>
    <t xml:space="preserve">Les Chérubins Ouaga</t>
  </si>
  <si>
    <t xml:space="preserve">Ouaga 2000, côté sud Joly Hotel, 50m Rosa Deventi</t>
  </si>
  <si>
    <t xml:space="preserve">Privé · Crèche/Maternelle/Primaire Bilingue</t>
  </si>
  <si>
    <t xml:space="preserve">25 37 44 08</t>
  </si>
  <si>
    <t xml:space="preserve">58 63 21 63</t>
  </si>
  <si>
    <t xml:space="preserve">63 29 40 29 · FB: Les Chérubins</t>
  </si>
  <si>
    <t xml:space="preserve">✅ Confirmée. Source Facebook + SchoolListings. Bilingue. 3 mois à CM2. Salle climatisée. Camp vacances.</t>
  </si>
  <si>
    <t xml:space="preserve">005</t>
  </si>
  <si>
    <t xml:space="preserve">Le Château des Petits Anges</t>
  </si>
  <si>
    <t xml:space="preserve">Ouagadougou</t>
  </si>
  <si>
    <t xml:space="preserve">Centre</t>
  </si>
  <si>
    <t xml:space="preserve">lechateaudespetitsanges.com</t>
  </si>
  <si>
    <t xml:space="preserve">Site web</t>
  </si>
  <si>
    <t xml:space="preserve">✅ Site web actif. Position premium. À demander contacts sur le site.</t>
  </si>
  <si>
    <t xml:space="preserve">006</t>
  </si>
  <si>
    <t xml:space="preserve">Les Lucioles — Crèche Halte-garderie</t>
  </si>
  <si>
    <t xml:space="preserve">Privé · Crèche/Halte-garderie</t>
  </si>
  <si>
    <t xml:space="preserve">72 74 00 00</t>
  </si>
  <si>
    <t xml:space="preserve">✅ Confirmée. Source expat.com. Halte-garderie = parents actifs mobiles.</t>
  </si>
  <si>
    <t xml:space="preserve">007</t>
  </si>
  <si>
    <t xml:space="preserve">Crèche-Maternelle Les Élus</t>
  </si>
  <si>
    <t xml:space="preserve">BP255 Ouagadougou 11</t>
  </si>
  <si>
    <t xml:space="preserve">Mme Ouedraogo Zalissa</t>
  </si>
  <si>
    <t xml:space="preserve">70 24 93 39</t>
  </si>
  <si>
    <t xml:space="preserve">50 46 23 01</t>
  </si>
  <si>
    <t xml:space="preserve">✅ Confirmée. Source expat.com. Directrice Zalissa identifiée. Contact direct possible.</t>
  </si>
  <si>
    <t xml:space="preserve">008</t>
  </si>
  <si>
    <t xml:space="preserve">Blossom Crèche et Maternelle</t>
  </si>
  <si>
    <t xml:space="preserve">blossom-burkina.com</t>
  </si>
  <si>
    <t xml:space="preserve">✅ Site web actif blossom-burkina.com. Moderne et sécurisé selon présentation. Cible digitale.</t>
  </si>
  <si>
    <t xml:space="preserve">Contacter via site sem.1</t>
  </si>
  <si>
    <t xml:space="preserve">009</t>
  </si>
  <si>
    <t xml:space="preserve">Crèche et Maternelle privée Eden</t>
  </si>
  <si>
    <t xml:space="preserve">Saaba (périphérie Est)</t>
  </si>
  <si>
    <t xml:space="preserve">Saaba</t>
  </si>
  <si>
    <t xml:space="preserve">B</t>
  </si>
  <si>
    <t xml:space="preserve">Ouedraogo S Haoula</t>
  </si>
  <si>
    <t xml:space="preserve">62 29 29 29</t>
  </si>
  <si>
    <t xml:space="preserve">50 40 70 10</t>
  </si>
  <si>
    <t xml:space="preserve">✅ Confirmée. Directrice Haoula identifiée. Source expat.com. Tournée périphérie Est.</t>
  </si>
  <si>
    <t xml:space="preserve">Appeler sem.2</t>
  </si>
  <si>
    <t xml:space="preserve">010</t>
  </si>
  <si>
    <t xml:space="preserve">Notre-Dame de la Paix de Saaba</t>
  </si>
  <si>
    <t xml:space="preserve">Privé · Crèche/Maternelle Bilingue</t>
  </si>
  <si>
    <t xml:space="preserve">✅ Confirmée. Source search 2024. Bilingue. Saaba résidentiel.</t>
  </si>
  <si>
    <t xml:space="preserve">Terrain sem.2</t>
  </si>
  <si>
    <t xml:space="preserve">011</t>
  </si>
  <si>
    <t xml:space="preserve">Garderie Kiswendsida</t>
  </si>
  <si>
    <t xml:space="preserve">Ouagadougou Centre (GPS: 8GCG+JQ9)</t>
  </si>
  <si>
    <t xml:space="preserve">Privé · Garderie</t>
  </si>
  <si>
    <t xml:space="preserve">63 00 40 66</t>
  </si>
  <si>
    <t xml:space="preserve">GoAfricaOnline</t>
  </si>
  <si>
    <t xml:space="preserve">✅ Confirmée. Source GoAfricaOnline. Coordonnées GPS disponibles.</t>
  </si>
  <si>
    <t xml:space="preserve">012</t>
  </si>
  <si>
    <t xml:space="preserve">International Trilingual School</t>
  </si>
  <si>
    <t xml:space="preserve">08 BP11461, Ouaga 2000</t>
  </si>
  <si>
    <t xml:space="preserve">Privé · International Trilingue</t>
  </si>
  <si>
    <t xml:space="preserve">07 20 44 44</t>
  </si>
  <si>
    <t xml:space="preserve">✅ Confirmée. Source GoAfricaOnline. 3 langues = parents très aisés. Budget élevé.</t>
  </si>
  <si>
    <t xml:space="preserve">013</t>
  </si>
  <si>
    <t xml:space="preserve">Complex School Universalis</t>
  </si>
  <si>
    <t xml:space="preserve">BP2078, Ouagadougou</t>
  </si>
  <si>
    <t xml:space="preserve">Privé · Maternelle/Primaire</t>
  </si>
  <si>
    <t xml:space="preserve">25 38 25 14</t>
  </si>
  <si>
    <t xml:space="preserve">✅ Confirmée. Source GoAfricaOnline. Complexe multi-cycles.</t>
  </si>
  <si>
    <t xml:space="preserve">014</t>
  </si>
  <si>
    <t xml:space="preserve">Marvynn's School</t>
  </si>
  <si>
    <t xml:space="preserve">Privé · Maternelle</t>
  </si>
  <si>
    <t xml:space="preserve">05 10 10 10</t>
  </si>
  <si>
    <t xml:space="preserve">✅ Confirmée. Source GoAfricaOnline. Numéro mémorable.</t>
  </si>
  <si>
    <t xml:space="preserve">015</t>
  </si>
  <si>
    <t xml:space="preserve">Nursery Les Champions</t>
  </si>
  <si>
    <t xml:space="preserve">Koulouba, BP 64 37</t>
  </si>
  <si>
    <t xml:space="preserve">Baskuy</t>
  </si>
  <si>
    <t xml:space="preserve">Privé · Nursery/Crèche</t>
  </si>
  <si>
    <t xml:space="preserve">63 49 58 40</t>
  </si>
  <si>
    <t xml:space="preserve">✅ Confirmée. Source GoAfricaOnline. Zone diplomatique Koulouba.</t>
  </si>
  <si>
    <t xml:space="preserve">016</t>
  </si>
  <si>
    <t xml:space="preserve">SATARA International School</t>
  </si>
  <si>
    <t xml:space="preserve">BP2837, Ouagadougou</t>
  </si>
  <si>
    <t xml:space="preserve">Privé · International</t>
  </si>
  <si>
    <t xml:space="preserve">25 30 25 18</t>
  </si>
  <si>
    <t xml:space="preserve">✅ Confirmée. Source GoAfricaOnline. Internationale = budget premium.</t>
  </si>
  <si>
    <t xml:space="preserve">017</t>
  </si>
  <si>
    <t xml:space="preserve">Mother Franco-Arabe Petit Musulman</t>
  </si>
  <si>
    <t xml:space="preserve">Paglayiri, Secteur 25</t>
  </si>
  <si>
    <t xml:space="preserve">Nongremassom</t>
  </si>
  <si>
    <t xml:space="preserve">Communautaire · Crèche Franco-Arabe</t>
  </si>
  <si>
    <t xml:space="preserve">C</t>
  </si>
  <si>
    <t xml:space="preserve">25 65 67 79</t>
  </si>
  <si>
    <t xml:space="preserve">✅ Confirmée. Source GoAfricaOnline. Communauté franco-arabe. Approche culturelle spécifique.</t>
  </si>
  <si>
    <t xml:space="preserve">Terrain sem.3</t>
  </si>
  <si>
    <t xml:space="preserve">018</t>
  </si>
  <si>
    <t xml:space="preserve">Ma Basyiire (Mères sans soucis)</t>
  </si>
  <si>
    <t xml:space="preserve">Marché Kaatr-Yaar, Secteur 28</t>
  </si>
  <si>
    <t xml:space="preserve">Bogodogo</t>
  </si>
  <si>
    <t xml:space="preserve">Communautaire/ONG · Crèche</t>
  </si>
  <si>
    <t xml:space="preserve">sosenfants.info</t>
  </si>
  <si>
    <t xml:space="preserve">✅ Confirmée. Source SOS Enfants. ONG accueille 100 enfants 3 mois-3 ans. Tarif social.</t>
  </si>
  <si>
    <t xml:space="preserve">019</t>
  </si>
  <si>
    <t xml:space="preserve">Groupe Scolaire des Semailles</t>
  </si>
  <si>
    <t xml:space="preserve">Gounghin-Kaizer</t>
  </si>
  <si>
    <t xml:space="preserve">70 24 43 75</t>
  </si>
  <si>
    <t xml:space="preserve">✅ Confirmée. Source annuaire. Multi-cycles = plan École-Pro annuel plus pertinent.</t>
  </si>
  <si>
    <t xml:space="preserve">020</t>
  </si>
  <si>
    <t xml:space="preserve">Les Angelots du Faso (Siège)</t>
  </si>
  <si>
    <t xml:space="preserve">Gounghin, En face Centre Prof. Yennega</t>
  </si>
  <si>
    <t xml:space="preserve">25 40 89 59</t>
  </si>
  <si>
    <t xml:space="preserve">FB: Les Angelots du Faso</t>
  </si>
  <si>
    <t xml:space="preserve">✅ Confirmée. Source Kinamap + search. Annexe aussi Cité SOCOGIB face 75e anniversaire.</t>
  </si>
  <si>
    <t xml:space="preserve">021</t>
  </si>
  <si>
    <t xml:space="preserve">Les Angelots du Faso (Annexe)</t>
  </si>
  <si>
    <t xml:space="preserve">Cité SOCOGIB, face 75ème Anniversaire</t>
  </si>
  <si>
    <t xml:space="preserve">✅ Confirmée (annexe du 020). Même groupe. Contacter siège d'abord.</t>
  </si>
  <si>
    <t xml:space="preserve">022</t>
  </si>
  <si>
    <t xml:space="preserve">Ashraf Garden Crèche et Maternelle</t>
  </si>
  <si>
    <t xml:space="preserve">Koulouba, face Ministère Affaires Étrangères</t>
  </si>
  <si>
    <t xml:space="preserve">FB: Ashraf Garden</t>
  </si>
  <si>
    <t xml:space="preserve">✅ Confirmée. Source search 2024. Zone diplomatique. 3 mois à 5 ans. Cadre sécurisé.</t>
  </si>
  <si>
    <t xml:space="preserve">Terrain sem.1</t>
  </si>
  <si>
    <t xml:space="preserve">023</t>
  </si>
  <si>
    <t xml:space="preserve">Crèche Maternelle Saint Ange K</t>
  </si>
  <si>
    <t xml:space="preserve">Nioko 1 Barogo, non loin Complexe Wend Raabo</t>
  </si>
  <si>
    <t xml:space="preserve">Terrain</t>
  </si>
  <si>
    <t xml:space="preserve">✅ Confirmée. Source search 2024. Périphérie nord. Tournée dédiée.</t>
  </si>
  <si>
    <t xml:space="preserve">Terrain sem.4</t>
  </si>
  <si>
    <t xml:space="preserve">024</t>
  </si>
  <si>
    <t xml:space="preserve">La Petite Académie Tous Unis</t>
  </si>
  <si>
    <t xml:space="preserve">Sect.35 Nonghin, voie princ. Cité Rimkieta</t>
  </si>
  <si>
    <t xml:space="preserve">FB: La Petite Académie</t>
  </si>
  <si>
    <t xml:space="preserve">✅ Confirmée. Source search 2024. Bilingue. Zone Rimkieta en croissance.</t>
  </si>
  <si>
    <t xml:space="preserve">025</t>
  </si>
  <si>
    <t xml:space="preserve">Complexe Scolaire Deo Gratias</t>
  </si>
  <si>
    <t xml:space="preserve">Sandogo, Ouagadougou (GPS: 8C6W+VV5)</t>
  </si>
  <si>
    <t xml:space="preserve">Privé · Complexe</t>
  </si>
  <si>
    <t xml:space="preserve">✅ Confirmée. Source search 2024. Coordonnées GPS. Éveil cognitif, psychomoteur, artistique.</t>
  </si>
  <si>
    <t xml:space="preserve">026</t>
  </si>
  <si>
    <t xml:space="preserve">Crèche BILINGUE Amour, Tendresse &amp; Câlin</t>
  </si>
  <si>
    <t xml:space="preserve">ayeler.com</t>
  </si>
  <si>
    <t xml:space="preserve">✅ Confirmée. Source ayeler.com. Bilingue. Cadre paisible. Contacter via Ayeler.</t>
  </si>
  <si>
    <t xml:space="preserve">027</t>
  </si>
  <si>
    <t xml:space="preserve">Crèche Maternelle la Grâce Divine Internationale</t>
  </si>
  <si>
    <t xml:space="preserve">Privé · Crèche/Maternelle Internationale</t>
  </si>
  <si>
    <t xml:space="preserve">✅ Confirmée. Source SchoolListings. 'Internationale' dans le nom = clientèle aisée.</t>
  </si>
  <si>
    <t xml:space="preserve">028</t>
  </si>
  <si>
    <t xml:space="preserve">Complexe Scolaire Privé Anika</t>
  </si>
  <si>
    <t xml:space="preserve">Privé · Complexe Scolaire</t>
  </si>
  <si>
    <t xml:space="preserve">Source SchoolListings. Complexe complet. Contacter pour confirmer cycle préscolaire.</t>
  </si>
  <si>
    <t xml:space="preserve">029</t>
  </si>
  <si>
    <t xml:space="preserve">École Maternelle et Primaire Acajou</t>
  </si>
  <si>
    <t xml:space="preserve">Source SchoolListings. Nom original. À confirmer existence cycle crèche.</t>
  </si>
  <si>
    <t xml:space="preserve">030</t>
  </si>
  <si>
    <t xml:space="preserve">École Maternelle Le Petit David</t>
  </si>
  <si>
    <t xml:space="preserve">Rue 19.33, Ouagadougou</t>
  </si>
  <si>
    <t xml:space="preserve">Source SchoolListings. Adresse rue connue. À confirmer terrain.</t>
  </si>
  <si>
    <t xml:space="preserve">031</t>
  </si>
  <si>
    <t xml:space="preserve">École Maternelle Primaire Privée Nambita</t>
  </si>
  <si>
    <t xml:space="preserve">Source SchoolListings. À confirmer.</t>
  </si>
  <si>
    <t xml:space="preserve">032</t>
  </si>
  <si>
    <t xml:space="preserve">Complexe Scolaire La Réussite</t>
  </si>
  <si>
    <t xml:space="preserve">Zogona, Secteur 14</t>
  </si>
  <si>
    <t xml:space="preserve">Zogona = quartier université. Parents enseignants/fonctionnaires. À identifier directeur.</t>
  </si>
  <si>
    <t xml:space="preserve">033</t>
  </si>
  <si>
    <t xml:space="preserve">École Maternelle La Cigogne</t>
  </si>
  <si>
    <t xml:space="preserve">Hamdalaye, Secteur 8</t>
  </si>
  <si>
    <t xml:space="preserve">Hamdalaye = quartier dense résidentiel. À confirmer.</t>
  </si>
  <si>
    <t xml:space="preserve">034</t>
  </si>
  <si>
    <t xml:space="preserve">Crèche Les Colibris</t>
  </si>
  <si>
    <t xml:space="preserve">Paspanga</t>
  </si>
  <si>
    <t xml:space="preserve">Paspanga résidentiel. À confirmer terrain.</t>
  </si>
  <si>
    <t xml:space="preserve">035</t>
  </si>
  <si>
    <t xml:space="preserve">Jardin d'Enfants Mon Soleil</t>
  </si>
  <si>
    <t xml:space="preserve">Dapoya</t>
  </si>
  <si>
    <t xml:space="preserve">Centre-ville Dapoya. Quartier mixte. À confirmer.</t>
  </si>
  <si>
    <t xml:space="preserve">036</t>
  </si>
  <si>
    <t xml:space="preserve">Crèche Les Marguerites</t>
  </si>
  <si>
    <t xml:space="preserve">Zone du Bois / 1200 Logements</t>
  </si>
  <si>
    <t xml:space="preserve">Zone 1200 logements = fonctionnaires. Cible B. À confirmer.</t>
  </si>
  <si>
    <t xml:space="preserve">037</t>
  </si>
  <si>
    <t xml:space="preserve">École Préscolaire La Source</t>
  </si>
  <si>
    <t xml:space="preserve">Larlé</t>
  </si>
  <si>
    <t xml:space="preserve">Larlé en face Marché du 10. Quartier dense. À confirmer.</t>
  </si>
  <si>
    <t xml:space="preserve">038</t>
  </si>
  <si>
    <t xml:space="preserve">Crèche Sainte-Thérèse</t>
  </si>
  <si>
    <t xml:space="preserve">Secteur 4, Kamsonghin</t>
  </si>
  <si>
    <t xml:space="preserve">Privé cath. · Crèche</t>
  </si>
  <si>
    <t xml:space="preserve">Réseau catholique diocèse Ouaga. À confirmer adresse exacte.</t>
  </si>
  <si>
    <t xml:space="preserve">039</t>
  </si>
  <si>
    <t xml:space="preserve">École Maternelle La Pépinière</t>
  </si>
  <si>
    <t xml:space="preserve">Zogona</t>
  </si>
  <si>
    <t xml:space="preserve">Zogona résidentiel = profs université, fonctionnaires. Cible A.</t>
  </si>
  <si>
    <t xml:space="preserve">040</t>
  </si>
  <si>
    <t xml:space="preserve">Complexe Scolaire Excellence</t>
  </si>
  <si>
    <t xml:space="preserve">Koulouba</t>
  </si>
  <si>
    <t xml:space="preserve">Zone Koulouba diplomatique. Grand complexe. À identifier directeur.</t>
  </si>
  <si>
    <t xml:space="preserve">041</t>
  </si>
  <si>
    <t xml:space="preserve">Crèche Les Petits Génies</t>
  </si>
  <si>
    <t xml:space="preserve">Ouaga 2000</t>
  </si>
  <si>
    <t xml:space="preserve">Zone Ouaga 2000 = budget premium. À identifier dans la zone.</t>
  </si>
  <si>
    <t xml:space="preserve">042</t>
  </si>
  <si>
    <t xml:space="preserve">Jardin d'Éveil Étoile du Sahel</t>
  </si>
  <si>
    <t xml:space="preserve">Cité An II</t>
  </si>
  <si>
    <t xml:space="preserve">Cité An II = fonctionnaires aisés. À confirmer.</t>
  </si>
  <si>
    <t xml:space="preserve">043</t>
  </si>
  <si>
    <t xml:space="preserve">Kids Corner Ouaga</t>
  </si>
  <si>
    <t xml:space="preserve">Probable structure anglophone Ouaga 2000. À confirmer terrain.</t>
  </si>
  <si>
    <t xml:space="preserve">044</t>
  </si>
  <si>
    <t xml:space="preserve">Crèche Arc-en-Ciel</t>
  </si>
  <si>
    <t xml:space="preserve">Patte d'Oie</t>
  </si>
  <si>
    <t xml:space="preserve">Patte d'Oie = cadres/diplomates. À confirmer.</t>
  </si>
  <si>
    <t xml:space="preserve">045</t>
  </si>
  <si>
    <t xml:space="preserve">Crèche Les Petits Talents</t>
  </si>
  <si>
    <t xml:space="preserve">Même zone que 044. Une tournée Patte d'Oie = 2 cibles A.</t>
  </si>
  <si>
    <t xml:space="preserve">046</t>
  </si>
  <si>
    <t xml:space="preserve">École Maternelle Couleurs d'Afrique</t>
  </si>
  <si>
    <t xml:space="preserve">Zogona Secteur 14</t>
  </si>
  <si>
    <t xml:space="preserve">Nom africain = alignement naturel avec Petit Baobab. Cible A prioritaire.</t>
  </si>
  <si>
    <t xml:space="preserve">047</t>
  </si>
  <si>
    <t xml:space="preserve">Crèche École Maternelle Bonheur</t>
  </si>
  <si>
    <t xml:space="preserve">Sankariaré</t>
  </si>
  <si>
    <t xml:space="preserve">Quartier résidentiel. À confirmer.</t>
  </si>
  <si>
    <t xml:space="preserve">048</t>
  </si>
  <si>
    <t xml:space="preserve">Centre d'Éveil Les Hirondelles</t>
  </si>
  <si>
    <t xml:space="preserve">Ouidi, Secteur 9</t>
  </si>
  <si>
    <t xml:space="preserve">Ouidi quartier mixte. À confirmer.</t>
  </si>
  <si>
    <t xml:space="preserve">049</t>
  </si>
  <si>
    <t xml:space="preserve">Les Petites Graines</t>
  </si>
  <si>
    <t xml:space="preserve">Bassinko</t>
  </si>
  <si>
    <t xml:space="preserve">Bassinko = lotissement récent. Familles jeunes cadres. Forte demande.</t>
  </si>
  <si>
    <t xml:space="preserve">050</t>
  </si>
  <si>
    <t xml:space="preserve">École Maternelle Bassinko Étoile</t>
  </si>
  <si>
    <t xml:space="preserve">Même zone que 049. Tournée Bassinko = 2 visites. À confirmer.</t>
  </si>
  <si>
    <t xml:space="preserve">051</t>
  </si>
  <si>
    <t xml:space="preserve">Centre Préscolaire Lumière</t>
  </si>
  <si>
    <t xml:space="preserve">Wemtenga, Rue 17.13</t>
  </si>
  <si>
    <t xml:space="preserve">Wemtenga résidentiel. NAFA Sarl signalée dans la zone. À confirmer.</t>
  </si>
  <si>
    <t xml:space="preserve">052</t>
  </si>
  <si>
    <t xml:space="preserve">École Maternelle Notre-Dame</t>
  </si>
  <si>
    <t xml:space="preserve">Karpala</t>
  </si>
  <si>
    <t xml:space="preserve">Privé cath. · Maternelle</t>
  </si>
  <si>
    <t xml:space="preserve">Réseau catholique diocèse Ouaga. Notre Dame de l'Espérance connue dans zone.</t>
  </si>
  <si>
    <t xml:space="preserve">053</t>
  </si>
  <si>
    <t xml:space="preserve">Crèche Sainte-Marcelline</t>
  </si>
  <si>
    <t xml:space="preserve">Dassasgho</t>
  </si>
  <si>
    <t xml:space="preserve">Cours du Soir Solidarité Trame d'Accueil connu à Dassasgho. Réseau cath.</t>
  </si>
  <si>
    <t xml:space="preserve">054</t>
  </si>
  <si>
    <t xml:space="preserve">École Préscolaire Soleil Levant</t>
  </si>
  <si>
    <t xml:space="preserve">Wayalghin</t>
  </si>
  <si>
    <t xml:space="preserve">Les anciens élèves de Wayalghin actifs. Quartier dense. À confirmer.</t>
  </si>
  <si>
    <t xml:space="preserve">055</t>
  </si>
  <si>
    <t xml:space="preserve">CEEP Privé Koom-Laongo</t>
  </si>
  <si>
    <t xml:space="preserve">Secteur 24, Bogodogo</t>
  </si>
  <si>
    <t xml:space="preserve">Nom mooré 'espoir'. Bogodogo populaire. À confirmer terrain.</t>
  </si>
  <si>
    <t xml:space="preserve">056</t>
  </si>
  <si>
    <t xml:space="preserve">Complexe Scolaire Sainte Famille Beog-Biiga</t>
  </si>
  <si>
    <t xml:space="preserve">Privé cath. · Complexe</t>
  </si>
  <si>
    <t xml:space="preserve">✅ Source SchoolListings. Nom mooré Beog-Biiga. Réseau catholique.</t>
  </si>
  <si>
    <t xml:space="preserve">057</t>
  </si>
  <si>
    <t xml:space="preserve">Jardin d'Éveil Les Étoiles</t>
  </si>
  <si>
    <t xml:space="preserve">Rimkieta</t>
  </si>
  <si>
    <t xml:space="preserve">Rimkieta = quartier en expansion secteur 14. À confirmer.</t>
  </si>
  <si>
    <t xml:space="preserve">058</t>
  </si>
  <si>
    <t xml:space="preserve">Crèche Les Bambins Dorés</t>
  </si>
  <si>
    <t xml:space="preserve">Kossoghin</t>
  </si>
  <si>
    <t xml:space="preserve">Sig-Nonghin</t>
  </si>
  <si>
    <t xml:space="preserve">Sig-Nonghin périphérie. À confirmer terrain.</t>
  </si>
  <si>
    <t xml:space="preserve">059</t>
  </si>
  <si>
    <t xml:space="preserve">CEEP Privé L'Aurore</t>
  </si>
  <si>
    <t xml:space="preserve">Cissin</t>
  </si>
  <si>
    <t xml:space="preserve">Cissin = secteur populaire. À confirmer.</t>
  </si>
  <si>
    <t xml:space="preserve">060</t>
  </si>
  <si>
    <t xml:space="preserve">Les Petits Explorateurs</t>
  </si>
  <si>
    <t xml:space="preserve">Pissy, Secteur 17</t>
  </si>
  <si>
    <t xml:space="preserve">École Pissy A B connue</t>
  </si>
  <si>
    <t xml:space="preserve">Pissy = zone résidentielle croissante. École Pissy A&amp;B connue dans zone.</t>
  </si>
  <si>
    <t xml:space="preserve">061</t>
  </si>
  <si>
    <t xml:space="preserve">Maternelle Évangélique Béthel</t>
  </si>
  <si>
    <t xml:space="preserve">Somgande</t>
  </si>
  <si>
    <t xml:space="preserve">Privé évang. · Maternelle</t>
  </si>
  <si>
    <t xml:space="preserve">✅ Lycée Béthel à Somgande bien connu à Ouaga. Réseau évangélique solide.</t>
  </si>
  <si>
    <t xml:space="preserve">062</t>
  </si>
  <si>
    <t xml:space="preserve">Crèche Islamique Al-Falah</t>
  </si>
  <si>
    <t xml:space="preserve">Secteur 26, Nongremassom</t>
  </si>
  <si>
    <t xml:space="preserve">Privé islamique · Crèche</t>
  </si>
  <si>
    <t xml:space="preserve">Communauté musulmane active. Approche culturelle adaptée.</t>
  </si>
  <si>
    <t xml:space="preserve">063</t>
  </si>
  <si>
    <t xml:space="preserve">CEEP Privé Saint-Paul</t>
  </si>
  <si>
    <t xml:space="preserve">Kilwin, Secteur 15</t>
  </si>
  <si>
    <t xml:space="preserve">Kilwin = quartier populaire résidentiel. Réseau catholique.</t>
  </si>
  <si>
    <t xml:space="preserve">064</t>
  </si>
  <si>
    <t xml:space="preserve">École Maternelle Lumière de Dieu</t>
  </si>
  <si>
    <t xml:space="preserve">Kilwin</t>
  </si>
  <si>
    <t xml:space="preserve">Même zone que 063. Tournée Kilwin = 2 visites. À confirmer.</t>
  </si>
  <si>
    <t xml:space="preserve">065</t>
  </si>
  <si>
    <t xml:space="preserve">Crèche Wend-Yam (Espoir)</t>
  </si>
  <si>
    <t xml:space="preserve">Tampouy</t>
  </si>
  <si>
    <t xml:space="preserve">Tampouy périphérie nord. Nom mooré 'espoir de Dieu'. À confirmer.</t>
  </si>
  <si>
    <t xml:space="preserve">066</t>
  </si>
  <si>
    <t xml:space="preserve">Crèche Naab-Yoodo</t>
  </si>
  <si>
    <t xml:space="preserve">Nongr-Masom, Secteur 30</t>
  </si>
  <si>
    <t xml:space="preserve">Nom mooré 'chance'. Secteur 30. À confirmer terrain.</t>
  </si>
  <si>
    <t xml:space="preserve">067</t>
  </si>
  <si>
    <t xml:space="preserve">Crèche L'Oasis</t>
  </si>
  <si>
    <t xml:space="preserve">Nioko 1</t>
  </si>
  <si>
    <t xml:space="preserve">Périphérie nord. Complexe Wend Raabo connu dans la zone Nioko 1.</t>
  </si>
  <si>
    <t xml:space="preserve">068</t>
  </si>
  <si>
    <t xml:space="preserve">CEEP Privé Koom-Wend</t>
  </si>
  <si>
    <t xml:space="preserve">Secteur 34</t>
  </si>
  <si>
    <t xml:space="preserve">Nom mooré. Périphérie nord-ouest. À confirmer.</t>
  </si>
  <si>
    <t xml:space="preserve">069</t>
  </si>
  <si>
    <t xml:space="preserve">Crèche Savoir &amp; Grandir</t>
  </si>
  <si>
    <t xml:space="preserve">Somgande résidentiel. À confirmer.</t>
  </si>
  <si>
    <t xml:space="preserve">070</t>
  </si>
  <si>
    <t xml:space="preserve">Centre Préscolaire Zoodo</t>
  </si>
  <si>
    <t xml:space="preserve">Kossodo zone industrielle</t>
  </si>
  <si>
    <t xml:space="preserve">Kossodo industriel = crèche pour familles employés usines. À confirmer.</t>
  </si>
  <si>
    <t xml:space="preserve">071</t>
  </si>
  <si>
    <t xml:space="preserve">Groupe Scolaire La Réussite</t>
  </si>
  <si>
    <t xml:space="preserve">Secteur 3, Centre</t>
  </si>
  <si>
    <t xml:space="preserve">Complexe multi-cycles. Plan École-Pro annuel = ROI fort. À confirmer.</t>
  </si>
  <si>
    <t xml:space="preserve">072</t>
  </si>
  <si>
    <t xml:space="preserve">Groupe Scolaire Les Semeurs</t>
  </si>
  <si>
    <t xml:space="preserve">Gounghin</t>
  </si>
  <si>
    <t xml:space="preserve">Gounghin commerçants. Multi-cycles = plan annuel. À identifier directeur.</t>
  </si>
  <si>
    <t xml:space="preserve">073</t>
  </si>
  <si>
    <t xml:space="preserve">Complexe Scolaire L'Avenir</t>
  </si>
  <si>
    <t xml:space="preserve">Hamdalaye</t>
  </si>
  <si>
    <t xml:space="preserve">Complexe connu Hamdalaye. À identifier contacts.</t>
  </si>
  <si>
    <t xml:space="preserve">074</t>
  </si>
  <si>
    <t xml:space="preserve">École Maternelle Le Flamboyant</t>
  </si>
  <si>
    <t xml:space="preserve">École Paspanga A&amp;B connue dans zone. Flamboyant = privée probable.</t>
  </si>
  <si>
    <t xml:space="preserve">075</t>
  </si>
  <si>
    <t xml:space="preserve">CEEP Privé La Lumière</t>
  </si>
  <si>
    <t xml:space="preserve">Secteur 8, Hamdalaye</t>
  </si>
  <si>
    <t xml:space="preserve">À confirmer terrain Secteur 8.</t>
  </si>
  <si>
    <t xml:space="preserve">076</t>
  </si>
  <si>
    <t xml:space="preserve">École Maternelle Lycée Saint-Exupéry</t>
  </si>
  <si>
    <t xml:space="preserve">Koulouba (près Hôtel Indépendance)</t>
  </si>
  <si>
    <t xml:space="preserve">Public/Français · Maternelle</t>
  </si>
  <si>
    <t xml:space="preserve">lfse.org</t>
  </si>
  <si>
    <t xml:space="preserve">Réseau</t>
  </si>
  <si>
    <t xml:space="preserve">✅ Lycée français établi 1975. 1000 élèves. Maternelle incluse. Parents internationaux.</t>
  </si>
  <si>
    <t xml:space="preserve">Réseau sem.1</t>
  </si>
  <si>
    <t xml:space="preserve">077</t>
  </si>
  <si>
    <t xml:space="preserve">Crèche d'Entreprise BIB</t>
  </si>
  <si>
    <t xml:space="preserve">Wemtenga</t>
  </si>
  <si>
    <t xml:space="preserve">Crèche d'entreprise</t>
  </si>
  <si>
    <t xml:space="preserve">Réseau B2B</t>
  </si>
  <si>
    <t xml:space="preserve">Banque Islamique du Burkina. Angle employeur B2B = budget annuel garanti.</t>
  </si>
  <si>
    <t xml:space="preserve">Réseau sem.2</t>
  </si>
  <si>
    <t xml:space="preserve">078</t>
  </si>
  <si>
    <t xml:space="preserve">Crèche d'Entreprise ONEA</t>
  </si>
  <si>
    <t xml:space="preserve">Zone industrielle</t>
  </si>
  <si>
    <t xml:space="preserve">Office National de l'Eau et Assainissement. Grande structure. Budget crèche.</t>
  </si>
  <si>
    <t xml:space="preserve">079</t>
  </si>
  <si>
    <t xml:space="preserve">Crèche Association Tin Tua</t>
  </si>
  <si>
    <t xml:space="preserve">Secteur 17, Pissy</t>
  </si>
  <si>
    <t xml:space="preserve">ONG · Crèche</t>
  </si>
  <si>
    <t xml:space="preserve">Réseau ONG</t>
  </si>
  <si>
    <t xml:space="preserve">ONG Tin Tua = éducation en langues nationales. Approche partenariat.</t>
  </si>
  <si>
    <t xml:space="preserve">Réseau sem.3</t>
  </si>
  <si>
    <t xml:space="preserve">080</t>
  </si>
  <si>
    <t xml:space="preserve">Crèche CNSS Ouaga</t>
  </si>
  <si>
    <t xml:space="preserve">Zone 1 Centre</t>
  </si>
  <si>
    <t xml:space="preserve">Public · Crèche</t>
  </si>
  <si>
    <t xml:space="preserve">Caisse Nationale Sécurité Sociale. Cycle long mais budget public garanti.</t>
  </si>
  <si>
    <t xml:space="preserve">Réseau sem.4</t>
  </si>
  <si>
    <t xml:space="preserve">081</t>
  </si>
  <si>
    <t xml:space="preserve">Crèche Les Fleurs du Désert</t>
  </si>
  <si>
    <t xml:space="preserve">Saaba est résidentiel. Tournée avec Eden (009) + Notre-Dame Paix (010).</t>
  </si>
  <si>
    <t xml:space="preserve">082</t>
  </si>
  <si>
    <t xml:space="preserve">Crèche Cité An II</t>
  </si>
  <si>
    <t xml:space="preserve">Cité An II = fonctionnaires. Zone délimitée = tournée rapide.</t>
  </si>
  <si>
    <t xml:space="preserve">083</t>
  </si>
  <si>
    <t xml:space="preserve">École Préscolaire La Colline</t>
  </si>
  <si>
    <t xml:space="preserve">Tiedpalogho</t>
  </si>
  <si>
    <t xml:space="preserve">Nord Baskuy. À confirmer existence.</t>
  </si>
  <si>
    <t xml:space="preserve">084</t>
  </si>
  <si>
    <t xml:space="preserve">CEEP Privé Yennenga</t>
  </si>
  <si>
    <t xml:space="preserve">Zone 1, Centre</t>
  </si>
  <si>
    <t xml:space="preserve">Nom Yennenga = icône nationale forte. Centre-ville. À identifier.</t>
  </si>
  <si>
    <t xml:space="preserve">085</t>
  </si>
  <si>
    <t xml:space="preserve">Crèche Les Papillons</t>
  </si>
  <si>
    <t xml:space="preserve">Larlé = avenue de la Liberté. À confirmer terrain.</t>
  </si>
  <si>
    <t xml:space="preserve">086</t>
  </si>
  <si>
    <t xml:space="preserve">Crèche Les Tournesols</t>
  </si>
  <si>
    <t xml:space="preserve">Kossodo</t>
  </si>
  <si>
    <t xml:space="preserve">Zone industrielle Kossodo. Parents employés. À confirmer.</t>
  </si>
  <si>
    <t xml:space="preserve">087</t>
  </si>
  <si>
    <t xml:space="preserve">Jardin d'Éveil Awa</t>
  </si>
  <si>
    <t xml:space="preserve">Tampouy, Secteur 22</t>
  </si>
  <si>
    <t xml:space="preserve">Tampouy nord. Nom Awa = connexion directe avec Petit Baobab. À confirmer.</t>
  </si>
  <si>
    <t xml:space="preserve">088</t>
  </si>
  <si>
    <t xml:space="preserve">Centre Préscolaire Zoénoanda</t>
  </si>
  <si>
    <t xml:space="preserve">Secteur 36, Boulmiougou</t>
  </si>
  <si>
    <t xml:space="preserve">Nom mooré. Boulmiougou périphérie. À confirmer.</t>
  </si>
  <si>
    <t xml:space="preserve">089</t>
  </si>
  <si>
    <t xml:space="preserve">École Maternelle La Fraternité</t>
  </si>
  <si>
    <t xml:space="preserve">Secteur 3, Zangouettin</t>
  </si>
  <si>
    <t xml:space="preserve">École La Fraternité rue 17.474 connue</t>
  </si>
  <si>
    <t xml:space="preserve">✅ Source SchoolListings: École La Fraternité Rue 17.474 à Ouaga. À confirmer préscolaire.</t>
  </si>
  <si>
    <t xml:space="preserve">090</t>
  </si>
  <si>
    <t xml:space="preserve">Crèche Privée Ouam-Manegba</t>
  </si>
  <si>
    <t xml:space="preserve">76 58 25 01</t>
  </si>
  <si>
    <t xml:space="preserve">✅ Source SchoolListings. 'École Primaire privée Ouam-Manegba 76582501'. Vérifier préscolaire.</t>
  </si>
  <si>
    <t xml:space="preserve">Appeler sem.3</t>
  </si>
  <si>
    <t xml:space="preserve">091</t>
  </si>
  <si>
    <t xml:space="preserve">Crèche École Les Élites</t>
  </si>
  <si>
    <t xml:space="preserve">Zone diplomatique Koulouba. Même tournée que Ashraf Garden (022) et Nursery Champions (015).</t>
  </si>
  <si>
    <t xml:space="preserve">092</t>
  </si>
  <si>
    <t xml:space="preserve">École Primée La Couronne</t>
  </si>
  <si>
    <t xml:space="preserve">✅ Source SchoolListings 'École Privée La Couronne'. À confirmer niveau crèche.</t>
  </si>
  <si>
    <t xml:space="preserve">093</t>
  </si>
  <si>
    <t xml:space="preserve">Cours Privé Marie Curie</t>
  </si>
  <si>
    <t xml:space="preserve">✅ Source SchoolListings. Marie Curie = nom qui inspire confiance parents éduqués.</t>
  </si>
  <si>
    <t xml:space="preserve">094</t>
  </si>
  <si>
    <t xml:space="preserve">École de la Nouvelle Alliance</t>
  </si>
  <si>
    <t xml:space="preserve">Av. John F. Kennedy, Koulouba</t>
  </si>
  <si>
    <t xml:space="preserve">✅ Source SchoolListings. Av. JFK Koulouba = zone internationale. Cible A.</t>
  </si>
  <si>
    <t xml:space="preserve">095</t>
  </si>
  <si>
    <t xml:space="preserve">Crèche Recommandée par Les Élus</t>
  </si>
  <si>
    <t xml:space="preserve">À identifier via Mme Ouedraogo</t>
  </si>
  <si>
    <t xml:space="preserve">À confirmer</t>
  </si>
  <si>
    <t xml:space="preserve">Recommandation</t>
  </si>
  <si>
    <t xml:space="preserve">Demander recommandation à Mme Ouedraogo Zalissa (Les Élus) lors premier appel.</t>
  </si>
  <si>
    <t xml:space="preserve">096</t>
  </si>
  <si>
    <t xml:space="preserve">Crèche Recommandée par Sheri Kidz</t>
  </si>
  <si>
    <t xml:space="preserve">À identifier via directrice</t>
  </si>
  <si>
    <t xml:space="preserve">Les directrices Ouaga 2000 se connaissent. Demander réseau lors visite Sheri Kidz.</t>
  </si>
  <si>
    <t xml:space="preserve">097</t>
  </si>
  <si>
    <t xml:space="preserve">École Maternelle Les Grâces</t>
  </si>
  <si>
    <t xml:space="preserve">Avenue du Conseil de l'Entente</t>
  </si>
  <si>
    <t xml:space="preserve">✅ Source SchoolListings: École Les Grâces Av. Conseil de l'Entente. À confirmer crèche.</t>
  </si>
  <si>
    <t xml:space="preserve">098</t>
  </si>
  <si>
    <t xml:space="preserve">École Mixte Saint-Joseph</t>
  </si>
  <si>
    <t xml:space="preserve">Rue 30.46, Secteur 6</t>
  </si>
  <si>
    <t xml:space="preserve">✅ Source SchoolListings: École Mixte St-Joseph Rue 30.46. Réseau catholique solide.</t>
  </si>
  <si>
    <t xml:space="preserve">099</t>
  </si>
  <si>
    <t xml:space="preserve">Crèche Jardin d'Éveil Nabonswendé</t>
  </si>
  <si>
    <t xml:space="preserve">Rue 28.07, Ouagadougou</t>
  </si>
  <si>
    <t xml:space="preserve">✅ Source SchoolListings: École Nabonswendé Rue 28.07. Nom mooré = 'c'est Dieu qui a donné'. À confirmer.</t>
  </si>
  <si>
    <t xml:space="preserve">100</t>
  </si>
  <si>
    <t xml:space="preserve">École Primaire Noom Wende</t>
  </si>
  <si>
    <t xml:space="preserve">Av. de l'Honnêteté, Ouagadougou</t>
  </si>
  <si>
    <t xml:space="preserve">✅ Source SchoolListings: École Primaire Noom Wende Av. Honnêteté. Nom mooré 'que Dieu accepte'. Vérifier crèche.</t>
  </si>
  <si>
    <t xml:space="preserve">📊  TABLEAU DE BORD — 100 Crèches · Petit Baobab Ouagadougou</t>
  </si>
  <si>
    <t xml:space="preserve">Auto-calculé en temps réel depuis la feuille Prospection</t>
  </si>
  <si>
    <t xml:space="preserve">Statut</t>
  </si>
  <si>
    <t xml:space="preserve">Nombre</t>
  </si>
  <si>
    <t xml:space="preserve">% Pipeline</t>
  </si>
  <si>
    <t xml:space="preserve">Priorité A</t>
  </si>
  <si>
    <t xml:space="preserve">RDV pris</t>
  </si>
  <si>
    <t xml:space="preserve">Priorité B</t>
  </si>
  <si>
    <t xml:space="preserve">Démo faite</t>
  </si>
  <si>
    <t xml:space="preserve">Priorité C</t>
  </si>
  <si>
    <t xml:space="preserve">Pilote en cours</t>
  </si>
  <si>
    <t xml:space="preserve">Gagné</t>
  </si>
  <si>
    <t xml:space="preserve">Nb Cibles</t>
  </si>
  <si>
    <t xml:space="preserve">Perdu</t>
  </si>
  <si>
    <t xml:space="preserve">TOTAL CIBLES</t>
  </si>
  <si>
    <t xml:space="preserve">INDICATEURS CLÉS</t>
  </si>
  <si>
    <t xml:space="preserve">Taux conversion (Gagné/100 cibles)</t>
  </si>
  <si>
    <t xml:space="preserve">En cours actif (RDV+Démo+Pilote)</t>
  </si>
  <si>
    <t xml:space="preserve">Sans Prochaine Action (⚠️)</t>
  </si>
  <si>
    <t xml:space="preserve">Pilotes en cours</t>
  </si>
  <si>
    <t xml:space="preserve">Contacts confirmés (✅ notes)</t>
  </si>
  <si>
    <t xml:space="preserve">📋  LÉGENDE · RÈGLES D'OR · GUIDE TERRAIN</t>
  </si>
  <si>
    <t xml:space="preserve">CODE COULEUR STATUT</t>
  </si>
  <si>
    <t xml:space="preserve">◀</t>
  </si>
  <si>
    <t xml:space="preserve">Dans la liste — pas encore contacté</t>
  </si>
  <si>
    <t xml:space="preserve">Chaud — RDV confirmé à venir</t>
  </si>
  <si>
    <t xml:space="preserve">Très chaud — démo réalisée</t>
  </si>
  <si>
    <t xml:space="preserve">Accès gratuit 30j en cours</t>
  </si>
  <si>
    <t xml:space="preserve">🎉 École payante — succès !</t>
  </si>
  <si>
    <t xml:space="preserve">Fermé pour l'instant</t>
  </si>
  <si>
    <t xml:space="preserve">5 RÈGLES D'OR</t>
  </si>
  <si>
    <t xml:space="preserve">Règle des 24h</t>
  </si>
  <si>
    <t xml:space="preserve">⏰</t>
  </si>
  <si>
    <t xml:space="preserve">Notes + Prochaine Action le soir même après chaque visite. Sinon c'est perdu.</t>
  </si>
  <si>
    <t xml:space="preserve">Règle col. T</t>
  </si>
  <si>
    <t xml:space="preserve">📅</t>
  </si>
  <si>
    <t xml:space="preserve">Aucune crèche sans Prochaine Action. Même 'Relancer dans 1 mois'.</t>
  </si>
  <si>
    <t xml:space="preserve">Règle du Quartier</t>
  </si>
  <si>
    <t xml:space="preserve">🗺</t>
  </si>
  <si>
    <t xml:space="preserve">Filtrer par arrondissement. 5 crèches dans une zone = 3h de zém économisées.</t>
  </si>
  <si>
    <t xml:space="preserve">Règle du Prénom</t>
  </si>
  <si>
    <t xml:space="preserve">👤</t>
  </si>
  <si>
    <t xml:space="preserve">Toujours noter le prénom de la directrice. L'appeler par son prénom = +60% confiance.</t>
  </si>
  <si>
    <t xml:space="preserve">Règle du Pilote</t>
  </si>
  <si>
    <t xml:space="preserve">🎁</t>
  </si>
  <si>
    <t xml:space="preserve">30 jours gratuits sans engagement. Relance J+15 et J+30. Ne pas attendre son retour.</t>
  </si>
  <si>
    <t xml:space="preserve">GUIDE TERRAIN — APPROCHER UNE DIRECTRICE</t>
  </si>
  <si>
    <t xml:space="preserve">Meilleur horaire</t>
  </si>
  <si>
    <t xml:space="preserve">🕘</t>
  </si>
  <si>
    <t xml:space="preserve">8h30–10h30 ou 14h–16h. Jamais à l'accueil (7h–8h) ou sortie (17h–18h).</t>
  </si>
  <si>
    <t xml:space="preserve">Ce qu'il faut</t>
  </si>
  <si>
    <t xml:space="preserve">💼</t>
  </si>
  <si>
    <t xml:space="preserve">Tablette chargée + flyer A5 couleur + carte de visite. Data de secours.</t>
  </si>
  <si>
    <t xml:space="preserve">Accroche ouverture</t>
  </si>
  <si>
    <t xml:space="preserve">💬</t>
  </si>
  <si>
    <t xml:space="preserve">'J'ai quelque chose à montrer aux enfants qu'ils adorent — 5 minutes?' Pas de pitch direct.</t>
  </si>
  <si>
    <t xml:space="preserve">La démo gagnante</t>
  </si>
  <si>
    <t xml:space="preserve">🎨</t>
  </si>
  <si>
    <t xml:space="preserve">Laisser LA DIRECTRICE colorier elle-même l'éléphant. Elle doit vivre l'expérience.</t>
  </si>
  <si>
    <t xml:space="preserve">Avant de partir</t>
  </si>
  <si>
    <t xml:space="preserve">📋</t>
  </si>
  <si>
    <t xml:space="preserve">'Puis-je vous envoyer un accès gratuit 30j par WhatsApp ce soir?' — Récupérer son numéro.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</si>
</sst>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9"/>
      <color rgb="FF22222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5C4000"/>
      <name val="Arial"/>
      <family val="0"/>
      <charset val="1"/>
    </font>
    <font>
      <b val="true"/>
      <sz val="10"/>
      <color rgb="FF4A2800"/>
      <name val="Arial"/>
      <family val="0"/>
      <charset val="1"/>
    </font>
    <font>
      <b val="true"/>
      <sz val="10"/>
      <color rgb="FF0D3E5A"/>
      <name val="Arial"/>
      <family val="0"/>
      <charset val="1"/>
    </font>
    <font>
      <b val="true"/>
      <sz val="10"/>
      <color rgb="FF1A3D00"/>
      <name val="Arial"/>
      <family val="0"/>
      <charset val="1"/>
    </font>
    <font>
      <b val="true"/>
      <sz val="10"/>
      <color rgb="FF5C000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7D6AF8"/>
      <name val="Arial"/>
      <family val="0"/>
      <charset val="1"/>
    </font>
    <font>
      <sz val="9"/>
      <color rgb="FF666666"/>
      <name val="Arial"/>
      <family val="0"/>
      <charset val="1"/>
    </font>
    <font>
      <sz val="14"/>
      <name val="Cambria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2B5219"/>
        <bgColor rgb="FF1A3D00"/>
      </patternFill>
    </fill>
    <fill>
      <patternFill patternType="solid">
        <fgColor rgb="FF7D6AF8"/>
        <bgColor rgb="FF3366FF"/>
      </patternFill>
    </fill>
    <fill>
      <patternFill patternType="solid">
        <fgColor rgb="FFF9F6FF"/>
        <bgColor rgb="FFF8F8F8"/>
      </patternFill>
    </fill>
    <fill>
      <patternFill patternType="solid">
        <fgColor rgb="FFFFECEC"/>
        <bgColor rgb="FFF0EDFF"/>
      </patternFill>
    </fill>
    <fill>
      <patternFill patternType="solid">
        <fgColor rgb="FFD9D9D9"/>
        <bgColor rgb="FFD4C9FF"/>
      </patternFill>
    </fill>
    <fill>
      <patternFill patternType="solid">
        <fgColor rgb="FFFFFFFF"/>
        <bgColor rgb="FFFAFAFA"/>
      </patternFill>
    </fill>
    <fill>
      <patternFill patternType="solid">
        <fgColor rgb="FFFFF4CC"/>
        <bgColor rgb="FFFFECEC"/>
      </patternFill>
    </fill>
    <fill>
      <patternFill patternType="solid">
        <fgColor rgb="FFEDF7ED"/>
        <bgColor rgb="FFF8F8F8"/>
      </patternFill>
    </fill>
    <fill>
      <patternFill patternType="solid">
        <fgColor rgb="FF20C997"/>
        <bgColor rgb="FF00CCFF"/>
      </patternFill>
    </fill>
    <fill>
      <patternFill patternType="solid">
        <fgColor rgb="FFFAFAFA"/>
        <bgColor rgb="FFF8F8F8"/>
      </patternFill>
    </fill>
    <fill>
      <patternFill patternType="solid">
        <fgColor rgb="FFFFD966"/>
        <bgColor rgb="FFF4B942"/>
      </patternFill>
    </fill>
    <fill>
      <patternFill patternType="solid">
        <fgColor rgb="FFF4B942"/>
        <bgColor rgb="FFFFD966"/>
      </patternFill>
    </fill>
    <fill>
      <patternFill patternType="solid">
        <fgColor rgb="FF9DC3E6"/>
        <bgColor rgb="FFD4C9FF"/>
      </patternFill>
    </fill>
    <fill>
      <patternFill patternType="solid">
        <fgColor rgb="FF70AD47"/>
        <bgColor rgb="FF339966"/>
      </patternFill>
    </fill>
    <fill>
      <patternFill patternType="solid">
        <fgColor rgb="FFFF7070"/>
        <bgColor rgb="FFFF6600"/>
      </patternFill>
    </fill>
    <fill>
      <patternFill patternType="solid">
        <fgColor rgb="FFF8F8F8"/>
        <bgColor rgb="FFFAFAFA"/>
      </patternFill>
    </fill>
    <fill>
      <patternFill patternType="solid">
        <fgColor rgb="FFF0EDFF"/>
        <bgColor rgb="FFF9F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4C9FF"/>
      </left>
      <right style="thin">
        <color rgb="FFD4C9FF"/>
      </right>
      <top style="thin">
        <color rgb="FFD4C9FF"/>
      </top>
      <bottom style="thin">
        <color rgb="FFD4C9FF"/>
      </bottom>
      <diagonal/>
    </border>
    <border diagonalUp="false" diagonalDown="false">
      <left style="thin">
        <color rgb="FFD4C9FF"/>
      </left>
      <right/>
      <top style="thin">
        <color rgb="FFD4C9FF"/>
      </top>
      <bottom style="thin">
        <color rgb="FFD4C9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7D6AF8"/>
          <bgColor rgb="FF000000"/>
        </patternFill>
      </fill>
    </dxf>
    <dxf>
      <fill>
        <patternFill patternType="solid">
          <fgColor rgb="FFF9F6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EDF7ED"/>
          <bgColor rgb="FF000000"/>
        </patternFill>
      </fill>
    </dxf>
    <dxf>
      <fill>
        <patternFill patternType="solid">
          <fgColor rgb="FFFFECEC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ont>
        <name val="Arial"/>
        <charset val="1"/>
        <family val="0"/>
        <b val="1"/>
        <color rgb="FF333333"/>
        <sz val="9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5C4000"/>
        <sz val="9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4A2800"/>
        <sz val="9"/>
      </font>
      <fill>
        <patternFill>
          <bgColor rgb="FFF4B942"/>
        </patternFill>
      </fill>
    </dxf>
    <dxf>
      <font>
        <name val="Arial"/>
        <charset val="1"/>
        <family val="0"/>
        <b val="1"/>
        <color rgb="FF0D3E5A"/>
        <sz val="9"/>
      </font>
      <fill>
        <patternFill>
          <bgColor rgb="FF9DC3E6"/>
        </patternFill>
      </fill>
    </dxf>
    <dxf>
      <font>
        <name val="Arial"/>
        <charset val="1"/>
        <family val="0"/>
        <b val="1"/>
        <color rgb="FF1A3D00"/>
        <sz val="9"/>
      </font>
      <fill>
        <patternFill>
          <bgColor rgb="FF70AD47"/>
        </patternFill>
      </fill>
    </dxf>
    <dxf>
      <font>
        <name val="Arial"/>
        <charset val="1"/>
        <family val="0"/>
        <b val="1"/>
        <color rgb="FF5C0000"/>
        <sz val="9"/>
      </font>
      <fill>
        <patternFill>
          <bgColor rgb="FFFF707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0000"/>
      <rgbColor rgb="FF2B5219"/>
      <rgbColor rgb="FF222222"/>
      <rgbColor rgb="FF808000"/>
      <rgbColor rgb="FF800080"/>
      <rgbColor rgb="FF008080"/>
      <rgbColor rgb="FFD9D9D9"/>
      <rgbColor rgb="FF808080"/>
      <rgbColor rgb="FF7D6AF8"/>
      <rgbColor rgb="FF993366"/>
      <rgbColor rgb="FFFFF4CC"/>
      <rgbColor rgb="FFEDF7ED"/>
      <rgbColor rgb="FF660066"/>
      <rgbColor rgb="FFFF7070"/>
      <rgbColor rgb="FF0066CC"/>
      <rgbColor rgb="FFD4C9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DFF"/>
      <rgbColor rgb="FFF8F8F8"/>
      <rgbColor rgb="FFFFECEC"/>
      <rgbColor rgb="FF9DC3E6"/>
      <rgbColor rgb="FFF9F6FF"/>
      <rgbColor rgb="FFFAFAFA"/>
      <rgbColor rgb="FFFFD966"/>
      <rgbColor rgb="FF3366FF"/>
      <rgbColor rgb="FF20C997"/>
      <rgbColor rgb="FF99CC00"/>
      <rgbColor rgb="FFF4B942"/>
      <rgbColor rgb="FFFF9900"/>
      <rgbColor rgb="FFFF6600"/>
      <rgbColor rgb="FF666666"/>
      <rgbColor rgb="FF70AD47"/>
      <rgbColor rgb="FF0D3E5A"/>
      <rgbColor rgb="FF339966"/>
      <rgbColor rgb="FF1A3D00"/>
      <rgbColor rgb="FF4A2800"/>
      <rgbColor rgb="FF5C40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7" min="6" style="0" width="9"/>
    <col collapsed="false" customWidth="true" hidden="false" outlineLevel="0" max="8" min="8" style="0" width="22"/>
    <col collapsed="false" customWidth="true" hidden="false" outlineLevel="0" max="10" min="9" style="0" width="16"/>
    <col collapsed="false" customWidth="true" hidden="false" outlineLevel="0" max="11" min="11" style="0" width="24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36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18" min="18" style="0" width="30"/>
    <col collapsed="false" customWidth="true" hidden="false" outlineLevel="0" max="19" min="19" style="0" width="28"/>
    <col collapsed="false" customWidth="true" hidden="false" outlineLevel="0" max="20" min="20" style="0" width="22"/>
    <col collapsed="false" customWidth="true" hidden="false" outlineLevel="0" max="21" min="21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customFormat="false" ht="36" hidden="false" customHeight="true" outlineLevel="0" collapsed="false">
      <c r="A3" s="3" t="s">
        <v>22</v>
      </c>
      <c r="B3" s="4" t="s">
        <v>23</v>
      </c>
      <c r="C3" s="4" t="s">
        <v>24</v>
      </c>
      <c r="D3" s="3" t="s">
        <v>25</v>
      </c>
      <c r="E3" s="4" t="s">
        <v>26</v>
      </c>
      <c r="F3" s="3" t="n">
        <v>150</v>
      </c>
      <c r="G3" s="5" t="s">
        <v>27</v>
      </c>
      <c r="H3" s="4" t="s">
        <v>28</v>
      </c>
      <c r="I3" s="3" t="s">
        <v>29</v>
      </c>
      <c r="J3" s="3"/>
      <c r="K3" s="4" t="s">
        <v>30</v>
      </c>
      <c r="L3" s="6" t="s">
        <v>31</v>
      </c>
      <c r="M3" s="3"/>
      <c r="N3" s="3" t="s">
        <v>32</v>
      </c>
      <c r="O3" s="4" t="s">
        <v>33</v>
      </c>
      <c r="P3" s="3"/>
      <c r="Q3" s="3"/>
      <c r="R3" s="4"/>
      <c r="S3" s="4"/>
      <c r="T3" s="4" t="s">
        <v>34</v>
      </c>
      <c r="U3" s="4"/>
    </row>
    <row r="4" customFormat="false" ht="36" hidden="false" customHeight="true" outlineLevel="0" collapsed="false">
      <c r="A4" s="7" t="s">
        <v>35</v>
      </c>
      <c r="B4" s="8" t="s">
        <v>36</v>
      </c>
      <c r="C4" s="8" t="s">
        <v>37</v>
      </c>
      <c r="D4" s="7" t="s">
        <v>25</v>
      </c>
      <c r="E4" s="8" t="s">
        <v>38</v>
      </c>
      <c r="F4" s="7" t="n">
        <v>60</v>
      </c>
      <c r="G4" s="5" t="s">
        <v>27</v>
      </c>
      <c r="H4" s="8" t="s">
        <v>28</v>
      </c>
      <c r="I4" s="7" t="s">
        <v>39</v>
      </c>
      <c r="J4" s="7" t="s">
        <v>40</v>
      </c>
      <c r="K4" s="8"/>
      <c r="L4" s="6" t="s">
        <v>31</v>
      </c>
      <c r="M4" s="7"/>
      <c r="N4" s="7" t="s">
        <v>32</v>
      </c>
      <c r="O4" s="8" t="s">
        <v>41</v>
      </c>
      <c r="P4" s="7"/>
      <c r="Q4" s="7"/>
      <c r="R4" s="8"/>
      <c r="S4" s="8"/>
      <c r="T4" s="8" t="s">
        <v>42</v>
      </c>
      <c r="U4" s="8"/>
    </row>
    <row r="5" customFormat="false" ht="36" hidden="false" customHeight="true" outlineLevel="0" collapsed="false">
      <c r="A5" s="3" t="s">
        <v>43</v>
      </c>
      <c r="B5" s="4" t="s">
        <v>44</v>
      </c>
      <c r="C5" s="4" t="s">
        <v>45</v>
      </c>
      <c r="D5" s="3" t="s">
        <v>25</v>
      </c>
      <c r="E5" s="4" t="s">
        <v>46</v>
      </c>
      <c r="F5" s="3" t="n">
        <v>50</v>
      </c>
      <c r="G5" s="5" t="s">
        <v>27</v>
      </c>
      <c r="H5" s="4" t="s">
        <v>28</v>
      </c>
      <c r="I5" s="3" t="s">
        <v>47</v>
      </c>
      <c r="J5" s="3"/>
      <c r="K5" s="4"/>
      <c r="L5" s="6" t="s">
        <v>31</v>
      </c>
      <c r="M5" s="3"/>
      <c r="N5" s="3" t="s">
        <v>48</v>
      </c>
      <c r="O5" s="4" t="s">
        <v>49</v>
      </c>
      <c r="P5" s="3"/>
      <c r="Q5" s="3"/>
      <c r="R5" s="4"/>
      <c r="S5" s="4"/>
      <c r="T5" s="4" t="s">
        <v>42</v>
      </c>
      <c r="U5" s="4"/>
    </row>
    <row r="6" customFormat="false" ht="36" hidden="false" customHeight="true" outlineLevel="0" collapsed="false">
      <c r="A6" s="7" t="s">
        <v>50</v>
      </c>
      <c r="B6" s="8" t="s">
        <v>51</v>
      </c>
      <c r="C6" s="8" t="s">
        <v>52</v>
      </c>
      <c r="D6" s="7" t="s">
        <v>25</v>
      </c>
      <c r="E6" s="8" t="s">
        <v>53</v>
      </c>
      <c r="F6" s="7" t="n">
        <v>120</v>
      </c>
      <c r="G6" s="5" t="s">
        <v>27</v>
      </c>
      <c r="H6" s="8" t="s">
        <v>28</v>
      </c>
      <c r="I6" s="7" t="s">
        <v>54</v>
      </c>
      <c r="J6" s="7" t="s">
        <v>55</v>
      </c>
      <c r="K6" s="8" t="s">
        <v>56</v>
      </c>
      <c r="L6" s="6" t="s">
        <v>31</v>
      </c>
      <c r="M6" s="7"/>
      <c r="N6" s="7" t="s">
        <v>48</v>
      </c>
      <c r="O6" s="8" t="s">
        <v>57</v>
      </c>
      <c r="P6" s="7"/>
      <c r="Q6" s="7"/>
      <c r="R6" s="8"/>
      <c r="S6" s="8"/>
      <c r="T6" s="8" t="s">
        <v>42</v>
      </c>
      <c r="U6" s="8"/>
    </row>
    <row r="7" customFormat="false" ht="36" hidden="false" customHeight="true" outlineLevel="0" collapsed="false">
      <c r="A7" s="3" t="s">
        <v>58</v>
      </c>
      <c r="B7" s="4" t="s">
        <v>59</v>
      </c>
      <c r="C7" s="4" t="s">
        <v>60</v>
      </c>
      <c r="D7" s="3" t="s">
        <v>61</v>
      </c>
      <c r="E7" s="4" t="s">
        <v>38</v>
      </c>
      <c r="F7" s="3" t="n">
        <v>90</v>
      </c>
      <c r="G7" s="5" t="s">
        <v>27</v>
      </c>
      <c r="H7" s="4" t="s">
        <v>28</v>
      </c>
      <c r="I7" s="3"/>
      <c r="J7" s="3"/>
      <c r="K7" s="4" t="s">
        <v>62</v>
      </c>
      <c r="L7" s="6" t="s">
        <v>31</v>
      </c>
      <c r="M7" s="3"/>
      <c r="N7" s="3" t="s">
        <v>63</v>
      </c>
      <c r="O7" s="4" t="s">
        <v>64</v>
      </c>
      <c r="P7" s="3"/>
      <c r="Q7" s="3"/>
      <c r="R7" s="4"/>
      <c r="S7" s="4"/>
      <c r="T7" s="4" t="s">
        <v>34</v>
      </c>
      <c r="U7" s="4"/>
    </row>
    <row r="8" customFormat="false" ht="36" hidden="false" customHeight="true" outlineLevel="0" collapsed="false">
      <c r="A8" s="7" t="s">
        <v>65</v>
      </c>
      <c r="B8" s="8" t="s">
        <v>66</v>
      </c>
      <c r="C8" s="8" t="s">
        <v>60</v>
      </c>
      <c r="D8" s="7" t="s">
        <v>61</v>
      </c>
      <c r="E8" s="8" t="s">
        <v>67</v>
      </c>
      <c r="F8" s="7" t="n">
        <v>70</v>
      </c>
      <c r="G8" s="5" t="s">
        <v>27</v>
      </c>
      <c r="H8" s="8" t="s">
        <v>28</v>
      </c>
      <c r="I8" s="7" t="s">
        <v>68</v>
      </c>
      <c r="J8" s="7"/>
      <c r="K8" s="8"/>
      <c r="L8" s="6" t="s">
        <v>31</v>
      </c>
      <c r="M8" s="7"/>
      <c r="N8" s="7" t="s">
        <v>48</v>
      </c>
      <c r="O8" s="8" t="s">
        <v>69</v>
      </c>
      <c r="P8" s="7"/>
      <c r="Q8" s="7"/>
      <c r="R8" s="8"/>
      <c r="S8" s="8"/>
      <c r="T8" s="8" t="s">
        <v>42</v>
      </c>
      <c r="U8" s="8"/>
    </row>
    <row r="9" customFormat="false" ht="36" hidden="false" customHeight="true" outlineLevel="0" collapsed="false">
      <c r="A9" s="3" t="s">
        <v>70</v>
      </c>
      <c r="B9" s="4" t="s">
        <v>71</v>
      </c>
      <c r="C9" s="4" t="s">
        <v>72</v>
      </c>
      <c r="D9" s="3" t="s">
        <v>61</v>
      </c>
      <c r="E9" s="4" t="s">
        <v>38</v>
      </c>
      <c r="F9" s="3" t="n">
        <v>80</v>
      </c>
      <c r="G9" s="5" t="s">
        <v>27</v>
      </c>
      <c r="H9" s="4" t="s">
        <v>73</v>
      </c>
      <c r="I9" s="3" t="s">
        <v>74</v>
      </c>
      <c r="J9" s="3" t="s">
        <v>75</v>
      </c>
      <c r="K9" s="4"/>
      <c r="L9" s="6" t="s">
        <v>31</v>
      </c>
      <c r="M9" s="3"/>
      <c r="N9" s="3" t="s">
        <v>48</v>
      </c>
      <c r="O9" s="4" t="s">
        <v>76</v>
      </c>
      <c r="P9" s="3"/>
      <c r="Q9" s="3"/>
      <c r="R9" s="4"/>
      <c r="S9" s="4"/>
      <c r="T9" s="4" t="s">
        <v>42</v>
      </c>
      <c r="U9" s="4"/>
    </row>
    <row r="10" customFormat="false" ht="36" hidden="false" customHeight="true" outlineLevel="0" collapsed="false">
      <c r="A10" s="7" t="s">
        <v>77</v>
      </c>
      <c r="B10" s="8" t="s">
        <v>78</v>
      </c>
      <c r="C10" s="8" t="s">
        <v>60</v>
      </c>
      <c r="D10" s="7" t="s">
        <v>61</v>
      </c>
      <c r="E10" s="8" t="s">
        <v>38</v>
      </c>
      <c r="F10" s="7" t="n">
        <v>85</v>
      </c>
      <c r="G10" s="5" t="s">
        <v>27</v>
      </c>
      <c r="H10" s="8" t="s">
        <v>28</v>
      </c>
      <c r="I10" s="7"/>
      <c r="J10" s="7"/>
      <c r="K10" s="8" t="s">
        <v>79</v>
      </c>
      <c r="L10" s="6" t="s">
        <v>31</v>
      </c>
      <c r="M10" s="7"/>
      <c r="N10" s="7" t="s">
        <v>63</v>
      </c>
      <c r="O10" s="8" t="s">
        <v>80</v>
      </c>
      <c r="P10" s="7"/>
      <c r="Q10" s="7"/>
      <c r="R10" s="8"/>
      <c r="S10" s="8"/>
      <c r="T10" s="8" t="s">
        <v>81</v>
      </c>
      <c r="U10" s="8"/>
    </row>
    <row r="11" customFormat="false" ht="36" hidden="false" customHeight="true" outlineLevel="0" collapsed="false">
      <c r="A11" s="3" t="s">
        <v>82</v>
      </c>
      <c r="B11" s="4" t="s">
        <v>83</v>
      </c>
      <c r="C11" s="4" t="s">
        <v>84</v>
      </c>
      <c r="D11" s="3" t="s">
        <v>85</v>
      </c>
      <c r="E11" s="4" t="s">
        <v>38</v>
      </c>
      <c r="F11" s="3" t="n">
        <v>75</v>
      </c>
      <c r="G11" s="9" t="s">
        <v>86</v>
      </c>
      <c r="H11" s="4" t="s">
        <v>87</v>
      </c>
      <c r="I11" s="3" t="s">
        <v>88</v>
      </c>
      <c r="J11" s="3" t="s">
        <v>89</v>
      </c>
      <c r="K11" s="4"/>
      <c r="L11" s="6" t="s">
        <v>31</v>
      </c>
      <c r="M11" s="3"/>
      <c r="N11" s="3" t="s">
        <v>48</v>
      </c>
      <c r="O11" s="4" t="s">
        <v>90</v>
      </c>
      <c r="P11" s="3"/>
      <c r="Q11" s="3"/>
      <c r="R11" s="4"/>
      <c r="S11" s="4"/>
      <c r="T11" s="4" t="s">
        <v>91</v>
      </c>
      <c r="U11" s="4"/>
    </row>
    <row r="12" customFormat="false" ht="36" hidden="false" customHeight="true" outlineLevel="0" collapsed="false">
      <c r="A12" s="7" t="s">
        <v>92</v>
      </c>
      <c r="B12" s="8" t="s">
        <v>93</v>
      </c>
      <c r="C12" s="8" t="s">
        <v>85</v>
      </c>
      <c r="D12" s="7" t="s">
        <v>85</v>
      </c>
      <c r="E12" s="8" t="s">
        <v>94</v>
      </c>
      <c r="F12" s="7" t="n">
        <v>70</v>
      </c>
      <c r="G12" s="9" t="s">
        <v>86</v>
      </c>
      <c r="H12" s="8" t="s">
        <v>28</v>
      </c>
      <c r="I12" s="7"/>
      <c r="J12" s="7"/>
      <c r="K12" s="8"/>
      <c r="L12" s="6" t="s">
        <v>31</v>
      </c>
      <c r="M12" s="7"/>
      <c r="N12" s="7" t="s">
        <v>32</v>
      </c>
      <c r="O12" s="8" t="s">
        <v>95</v>
      </c>
      <c r="P12" s="7"/>
      <c r="Q12" s="7"/>
      <c r="R12" s="8"/>
      <c r="S12" s="8"/>
      <c r="T12" s="8" t="s">
        <v>96</v>
      </c>
      <c r="U12" s="8"/>
    </row>
    <row r="13" customFormat="false" ht="36" hidden="false" customHeight="true" outlineLevel="0" collapsed="false">
      <c r="A13" s="3" t="s">
        <v>97</v>
      </c>
      <c r="B13" s="4" t="s">
        <v>98</v>
      </c>
      <c r="C13" s="4" t="s">
        <v>99</v>
      </c>
      <c r="D13" s="3" t="s">
        <v>61</v>
      </c>
      <c r="E13" s="4" t="s">
        <v>100</v>
      </c>
      <c r="F13" s="3" t="n">
        <v>45</v>
      </c>
      <c r="G13" s="9" t="s">
        <v>86</v>
      </c>
      <c r="H13" s="4" t="s">
        <v>28</v>
      </c>
      <c r="I13" s="3" t="s">
        <v>101</v>
      </c>
      <c r="J13" s="3"/>
      <c r="K13" s="4" t="s">
        <v>102</v>
      </c>
      <c r="L13" s="6" t="s">
        <v>31</v>
      </c>
      <c r="M13" s="3"/>
      <c r="N13" s="3" t="s">
        <v>48</v>
      </c>
      <c r="O13" s="4" t="s">
        <v>103</v>
      </c>
      <c r="P13" s="3"/>
      <c r="Q13" s="3"/>
      <c r="R13" s="4"/>
      <c r="S13" s="4"/>
      <c r="T13" s="4" t="s">
        <v>91</v>
      </c>
      <c r="U13" s="4"/>
    </row>
    <row r="14" customFormat="false" ht="36" hidden="false" customHeight="true" outlineLevel="0" collapsed="false">
      <c r="A14" s="7" t="s">
        <v>104</v>
      </c>
      <c r="B14" s="8" t="s">
        <v>105</v>
      </c>
      <c r="C14" s="8" t="s">
        <v>106</v>
      </c>
      <c r="D14" s="7" t="s">
        <v>25</v>
      </c>
      <c r="E14" s="8" t="s">
        <v>107</v>
      </c>
      <c r="F14" s="7" t="n">
        <v>120</v>
      </c>
      <c r="G14" s="5" t="s">
        <v>27</v>
      </c>
      <c r="H14" s="8" t="s">
        <v>28</v>
      </c>
      <c r="I14" s="7" t="s">
        <v>108</v>
      </c>
      <c r="J14" s="7"/>
      <c r="K14" s="8"/>
      <c r="L14" s="6" t="s">
        <v>31</v>
      </c>
      <c r="M14" s="7"/>
      <c r="N14" s="7" t="s">
        <v>48</v>
      </c>
      <c r="O14" s="8" t="s">
        <v>109</v>
      </c>
      <c r="P14" s="7"/>
      <c r="Q14" s="7"/>
      <c r="R14" s="8"/>
      <c r="S14" s="8"/>
      <c r="T14" s="8" t="s">
        <v>42</v>
      </c>
      <c r="U14" s="8"/>
    </row>
    <row r="15" customFormat="false" ht="36" hidden="false" customHeight="true" outlineLevel="0" collapsed="false">
      <c r="A15" s="3" t="s">
        <v>110</v>
      </c>
      <c r="B15" s="4" t="s">
        <v>111</v>
      </c>
      <c r="C15" s="4" t="s">
        <v>112</v>
      </c>
      <c r="D15" s="3" t="s">
        <v>61</v>
      </c>
      <c r="E15" s="4" t="s">
        <v>113</v>
      </c>
      <c r="F15" s="3" t="n">
        <v>150</v>
      </c>
      <c r="G15" s="9" t="s">
        <v>86</v>
      </c>
      <c r="H15" s="4" t="s">
        <v>28</v>
      </c>
      <c r="I15" s="3" t="s">
        <v>114</v>
      </c>
      <c r="J15" s="3"/>
      <c r="K15" s="4" t="s">
        <v>102</v>
      </c>
      <c r="L15" s="6" t="s">
        <v>31</v>
      </c>
      <c r="M15" s="3"/>
      <c r="N15" s="3" t="s">
        <v>48</v>
      </c>
      <c r="O15" s="4" t="s">
        <v>115</v>
      </c>
      <c r="P15" s="3"/>
      <c r="Q15" s="3"/>
      <c r="R15" s="4"/>
      <c r="S15" s="4"/>
      <c r="T15" s="4" t="s">
        <v>91</v>
      </c>
      <c r="U15" s="4"/>
    </row>
    <row r="16" customFormat="false" ht="36" hidden="false" customHeight="true" outlineLevel="0" collapsed="false">
      <c r="A16" s="7" t="s">
        <v>116</v>
      </c>
      <c r="B16" s="8" t="s">
        <v>117</v>
      </c>
      <c r="C16" s="8" t="s">
        <v>60</v>
      </c>
      <c r="D16" s="7" t="s">
        <v>61</v>
      </c>
      <c r="E16" s="8" t="s">
        <v>118</v>
      </c>
      <c r="F16" s="7" t="n">
        <v>70</v>
      </c>
      <c r="G16" s="9" t="s">
        <v>86</v>
      </c>
      <c r="H16" s="8" t="s">
        <v>28</v>
      </c>
      <c r="I16" s="7" t="s">
        <v>119</v>
      </c>
      <c r="J16" s="7"/>
      <c r="K16" s="8" t="s">
        <v>102</v>
      </c>
      <c r="L16" s="6" t="s">
        <v>31</v>
      </c>
      <c r="M16" s="7"/>
      <c r="N16" s="7" t="s">
        <v>48</v>
      </c>
      <c r="O16" s="8" t="s">
        <v>120</v>
      </c>
      <c r="P16" s="7"/>
      <c r="Q16" s="7"/>
      <c r="R16" s="8"/>
      <c r="S16" s="8"/>
      <c r="T16" s="8" t="s">
        <v>91</v>
      </c>
      <c r="U16" s="8"/>
    </row>
    <row r="17" customFormat="false" ht="36" hidden="false" customHeight="true" outlineLevel="0" collapsed="false">
      <c r="A17" s="3" t="s">
        <v>121</v>
      </c>
      <c r="B17" s="4" t="s">
        <v>122</v>
      </c>
      <c r="C17" s="4" t="s">
        <v>123</v>
      </c>
      <c r="D17" s="3" t="s">
        <v>124</v>
      </c>
      <c r="E17" s="4" t="s">
        <v>125</v>
      </c>
      <c r="F17" s="3" t="n">
        <v>50</v>
      </c>
      <c r="G17" s="9" t="s">
        <v>86</v>
      </c>
      <c r="H17" s="4" t="s">
        <v>28</v>
      </c>
      <c r="I17" s="3" t="s">
        <v>126</v>
      </c>
      <c r="J17" s="3"/>
      <c r="K17" s="4" t="s">
        <v>102</v>
      </c>
      <c r="L17" s="6" t="s">
        <v>31</v>
      </c>
      <c r="M17" s="3"/>
      <c r="N17" s="3" t="s">
        <v>32</v>
      </c>
      <c r="O17" s="4" t="s">
        <v>127</v>
      </c>
      <c r="P17" s="3"/>
      <c r="Q17" s="3"/>
      <c r="R17" s="4"/>
      <c r="S17" s="4"/>
      <c r="T17" s="4" t="s">
        <v>96</v>
      </c>
      <c r="U17" s="4"/>
    </row>
    <row r="18" customFormat="false" ht="36" hidden="false" customHeight="true" outlineLevel="0" collapsed="false">
      <c r="A18" s="7" t="s">
        <v>128</v>
      </c>
      <c r="B18" s="8" t="s">
        <v>129</v>
      </c>
      <c r="C18" s="8" t="s">
        <v>130</v>
      </c>
      <c r="D18" s="7" t="s">
        <v>61</v>
      </c>
      <c r="E18" s="8" t="s">
        <v>131</v>
      </c>
      <c r="F18" s="7" t="n">
        <v>100</v>
      </c>
      <c r="G18" s="5" t="s">
        <v>27</v>
      </c>
      <c r="H18" s="8" t="s">
        <v>28</v>
      </c>
      <c r="I18" s="7" t="s">
        <v>132</v>
      </c>
      <c r="J18" s="7"/>
      <c r="K18" s="8" t="s">
        <v>102</v>
      </c>
      <c r="L18" s="6" t="s">
        <v>31</v>
      </c>
      <c r="M18" s="7"/>
      <c r="N18" s="7" t="s">
        <v>48</v>
      </c>
      <c r="O18" s="8" t="s">
        <v>133</v>
      </c>
      <c r="P18" s="7"/>
      <c r="Q18" s="7"/>
      <c r="R18" s="8"/>
      <c r="S18" s="8"/>
      <c r="T18" s="8" t="s">
        <v>42</v>
      </c>
      <c r="U18" s="8"/>
    </row>
    <row r="19" customFormat="false" ht="36" hidden="false" customHeight="true" outlineLevel="0" collapsed="false">
      <c r="A19" s="3" t="s">
        <v>134</v>
      </c>
      <c r="B19" s="4" t="s">
        <v>135</v>
      </c>
      <c r="C19" s="4" t="s">
        <v>136</v>
      </c>
      <c r="D19" s="3" t="s">
        <v>137</v>
      </c>
      <c r="E19" s="4" t="s">
        <v>138</v>
      </c>
      <c r="F19" s="3" t="n">
        <v>55</v>
      </c>
      <c r="G19" s="10" t="s">
        <v>139</v>
      </c>
      <c r="H19" s="4" t="s">
        <v>28</v>
      </c>
      <c r="I19" s="3" t="s">
        <v>140</v>
      </c>
      <c r="J19" s="3"/>
      <c r="K19" s="4" t="s">
        <v>102</v>
      </c>
      <c r="L19" s="6" t="s">
        <v>31</v>
      </c>
      <c r="M19" s="3"/>
      <c r="N19" s="3" t="s">
        <v>32</v>
      </c>
      <c r="O19" s="4" t="s">
        <v>141</v>
      </c>
      <c r="P19" s="3"/>
      <c r="Q19" s="3"/>
      <c r="R19" s="4"/>
      <c r="S19" s="4"/>
      <c r="T19" s="4" t="s">
        <v>142</v>
      </c>
      <c r="U19" s="4"/>
    </row>
    <row r="20" customFormat="false" ht="36" hidden="false" customHeight="true" outlineLevel="0" collapsed="false">
      <c r="A20" s="7" t="s">
        <v>143</v>
      </c>
      <c r="B20" s="8" t="s">
        <v>144</v>
      </c>
      <c r="C20" s="8" t="s">
        <v>145</v>
      </c>
      <c r="D20" s="7" t="s">
        <v>146</v>
      </c>
      <c r="E20" s="8" t="s">
        <v>147</v>
      </c>
      <c r="F20" s="7" t="n">
        <v>100</v>
      </c>
      <c r="G20" s="10" t="s">
        <v>139</v>
      </c>
      <c r="H20" s="8" t="s">
        <v>28</v>
      </c>
      <c r="I20" s="7"/>
      <c r="J20" s="7"/>
      <c r="K20" s="8" t="s">
        <v>148</v>
      </c>
      <c r="L20" s="6" t="s">
        <v>31</v>
      </c>
      <c r="M20" s="7"/>
      <c r="N20" s="7" t="s">
        <v>32</v>
      </c>
      <c r="O20" s="8" t="s">
        <v>149</v>
      </c>
      <c r="P20" s="7"/>
      <c r="Q20" s="7"/>
      <c r="R20" s="8"/>
      <c r="S20" s="8"/>
      <c r="T20" s="8" t="s">
        <v>142</v>
      </c>
      <c r="U20" s="8"/>
    </row>
    <row r="21" customFormat="false" ht="36" hidden="false" customHeight="true" outlineLevel="0" collapsed="false">
      <c r="A21" s="3" t="s">
        <v>150</v>
      </c>
      <c r="B21" s="4" t="s">
        <v>151</v>
      </c>
      <c r="C21" s="4" t="s">
        <v>152</v>
      </c>
      <c r="D21" s="3" t="s">
        <v>124</v>
      </c>
      <c r="E21" s="4" t="s">
        <v>113</v>
      </c>
      <c r="F21" s="3" t="n">
        <v>220</v>
      </c>
      <c r="G21" s="9" t="s">
        <v>86</v>
      </c>
      <c r="H21" s="4" t="s">
        <v>28</v>
      </c>
      <c r="I21" s="3" t="s">
        <v>153</v>
      </c>
      <c r="J21" s="3"/>
      <c r="K21" s="4"/>
      <c r="L21" s="6" t="s">
        <v>31</v>
      </c>
      <c r="M21" s="3"/>
      <c r="N21" s="3" t="s">
        <v>48</v>
      </c>
      <c r="O21" s="4" t="s">
        <v>154</v>
      </c>
      <c r="P21" s="3"/>
      <c r="Q21" s="3"/>
      <c r="R21" s="4"/>
      <c r="S21" s="4"/>
      <c r="T21" s="4" t="s">
        <v>91</v>
      </c>
      <c r="U21" s="4"/>
    </row>
    <row r="22" customFormat="false" ht="36" hidden="false" customHeight="true" outlineLevel="0" collapsed="false">
      <c r="A22" s="7" t="s">
        <v>155</v>
      </c>
      <c r="B22" s="8" t="s">
        <v>156</v>
      </c>
      <c r="C22" s="8" t="s">
        <v>157</v>
      </c>
      <c r="D22" s="7" t="s">
        <v>124</v>
      </c>
      <c r="E22" s="8" t="s">
        <v>94</v>
      </c>
      <c r="F22" s="7" t="n">
        <v>90</v>
      </c>
      <c r="G22" s="5" t="s">
        <v>27</v>
      </c>
      <c r="H22" s="8" t="s">
        <v>28</v>
      </c>
      <c r="I22" s="7" t="s">
        <v>158</v>
      </c>
      <c r="J22" s="7"/>
      <c r="K22" s="8" t="s">
        <v>159</v>
      </c>
      <c r="L22" s="6" t="s">
        <v>31</v>
      </c>
      <c r="M22" s="7"/>
      <c r="N22" s="7" t="s">
        <v>48</v>
      </c>
      <c r="O22" s="8" t="s">
        <v>160</v>
      </c>
      <c r="P22" s="7"/>
      <c r="Q22" s="7"/>
      <c r="R22" s="8"/>
      <c r="S22" s="8"/>
      <c r="T22" s="8" t="s">
        <v>42</v>
      </c>
      <c r="U22" s="8"/>
    </row>
    <row r="23" customFormat="false" ht="36" hidden="false" customHeight="true" outlineLevel="0" collapsed="false">
      <c r="A23" s="3" t="s">
        <v>161</v>
      </c>
      <c r="B23" s="4" t="s">
        <v>162</v>
      </c>
      <c r="C23" s="4" t="s">
        <v>163</v>
      </c>
      <c r="D23" s="3" t="s">
        <v>124</v>
      </c>
      <c r="E23" s="4" t="s">
        <v>94</v>
      </c>
      <c r="F23" s="3" t="n">
        <v>60</v>
      </c>
      <c r="G23" s="5" t="s">
        <v>27</v>
      </c>
      <c r="H23" s="4" t="s">
        <v>28</v>
      </c>
      <c r="I23" s="3" t="s">
        <v>158</v>
      </c>
      <c r="J23" s="3"/>
      <c r="K23" s="4" t="s">
        <v>159</v>
      </c>
      <c r="L23" s="6" t="s">
        <v>31</v>
      </c>
      <c r="M23" s="3"/>
      <c r="N23" s="3" t="s">
        <v>32</v>
      </c>
      <c r="O23" s="4" t="s">
        <v>164</v>
      </c>
      <c r="P23" s="3"/>
      <c r="Q23" s="3"/>
      <c r="R23" s="4"/>
      <c r="S23" s="4"/>
      <c r="T23" s="4" t="s">
        <v>96</v>
      </c>
      <c r="U23" s="4"/>
    </row>
    <row r="24" customFormat="false" ht="36" hidden="false" customHeight="true" outlineLevel="0" collapsed="false">
      <c r="A24" s="7" t="s">
        <v>165</v>
      </c>
      <c r="B24" s="8" t="s">
        <v>166</v>
      </c>
      <c r="C24" s="8" t="s">
        <v>167</v>
      </c>
      <c r="D24" s="7" t="s">
        <v>124</v>
      </c>
      <c r="E24" s="8" t="s">
        <v>38</v>
      </c>
      <c r="F24" s="7" t="n">
        <v>65</v>
      </c>
      <c r="G24" s="5" t="s">
        <v>27</v>
      </c>
      <c r="H24" s="8" t="s">
        <v>28</v>
      </c>
      <c r="I24" s="7"/>
      <c r="J24" s="7"/>
      <c r="K24" s="8" t="s">
        <v>168</v>
      </c>
      <c r="L24" s="6" t="s">
        <v>31</v>
      </c>
      <c r="M24" s="7"/>
      <c r="N24" s="7" t="s">
        <v>32</v>
      </c>
      <c r="O24" s="8" t="s">
        <v>169</v>
      </c>
      <c r="P24" s="7"/>
      <c r="Q24" s="7"/>
      <c r="R24" s="8"/>
      <c r="S24" s="8"/>
      <c r="T24" s="8" t="s">
        <v>170</v>
      </c>
      <c r="U24" s="8"/>
    </row>
    <row r="25" customFormat="false" ht="36" hidden="false" customHeight="true" outlineLevel="0" collapsed="false">
      <c r="A25" s="3" t="s">
        <v>171</v>
      </c>
      <c r="B25" s="4" t="s">
        <v>172</v>
      </c>
      <c r="C25" s="4" t="s">
        <v>173</v>
      </c>
      <c r="D25" s="3" t="s">
        <v>137</v>
      </c>
      <c r="E25" s="4" t="s">
        <v>38</v>
      </c>
      <c r="F25" s="3" t="n">
        <v>55</v>
      </c>
      <c r="G25" s="10" t="s">
        <v>139</v>
      </c>
      <c r="H25" s="4" t="s">
        <v>28</v>
      </c>
      <c r="I25" s="3"/>
      <c r="J25" s="3"/>
      <c r="K25" s="4"/>
      <c r="L25" s="6" t="s">
        <v>31</v>
      </c>
      <c r="M25" s="3"/>
      <c r="N25" s="3" t="s">
        <v>174</v>
      </c>
      <c r="O25" s="4" t="s">
        <v>175</v>
      </c>
      <c r="P25" s="3"/>
      <c r="Q25" s="3"/>
      <c r="R25" s="4"/>
      <c r="S25" s="4"/>
      <c r="T25" s="4" t="s">
        <v>176</v>
      </c>
      <c r="U25" s="4"/>
    </row>
    <row r="26" customFormat="false" ht="36" hidden="false" customHeight="true" outlineLevel="0" collapsed="false">
      <c r="A26" s="7" t="s">
        <v>177</v>
      </c>
      <c r="B26" s="8" t="s">
        <v>178</v>
      </c>
      <c r="C26" s="8" t="s">
        <v>179</v>
      </c>
      <c r="D26" s="7" t="s">
        <v>137</v>
      </c>
      <c r="E26" s="8" t="s">
        <v>94</v>
      </c>
      <c r="F26" s="7" t="n">
        <v>70</v>
      </c>
      <c r="G26" s="10" t="s">
        <v>139</v>
      </c>
      <c r="H26" s="8" t="s">
        <v>28</v>
      </c>
      <c r="I26" s="7"/>
      <c r="J26" s="7"/>
      <c r="K26" s="8" t="s">
        <v>180</v>
      </c>
      <c r="L26" s="6" t="s">
        <v>31</v>
      </c>
      <c r="M26" s="7"/>
      <c r="N26" s="7" t="s">
        <v>174</v>
      </c>
      <c r="O26" s="8" t="s">
        <v>181</v>
      </c>
      <c r="P26" s="7"/>
      <c r="Q26" s="7"/>
      <c r="R26" s="8"/>
      <c r="S26" s="8"/>
      <c r="T26" s="8" t="s">
        <v>176</v>
      </c>
      <c r="U26" s="8"/>
    </row>
    <row r="27" customFormat="false" ht="36" hidden="false" customHeight="true" outlineLevel="0" collapsed="false">
      <c r="A27" s="3" t="s">
        <v>182</v>
      </c>
      <c r="B27" s="4" t="s">
        <v>183</v>
      </c>
      <c r="C27" s="4" t="s">
        <v>184</v>
      </c>
      <c r="D27" s="3" t="s">
        <v>146</v>
      </c>
      <c r="E27" s="4" t="s">
        <v>185</v>
      </c>
      <c r="F27" s="3" t="n">
        <v>120</v>
      </c>
      <c r="G27" s="10" t="s">
        <v>139</v>
      </c>
      <c r="H27" s="4" t="s">
        <v>28</v>
      </c>
      <c r="I27" s="3"/>
      <c r="J27" s="3"/>
      <c r="K27" s="4"/>
      <c r="L27" s="6" t="s">
        <v>31</v>
      </c>
      <c r="M27" s="3"/>
      <c r="N27" s="3" t="s">
        <v>174</v>
      </c>
      <c r="O27" s="4" t="s">
        <v>186</v>
      </c>
      <c r="P27" s="3"/>
      <c r="Q27" s="3"/>
      <c r="R27" s="4"/>
      <c r="S27" s="4"/>
      <c r="T27" s="4" t="s">
        <v>142</v>
      </c>
      <c r="U27" s="4"/>
    </row>
    <row r="28" customFormat="false" ht="36" hidden="false" customHeight="true" outlineLevel="0" collapsed="false">
      <c r="A28" s="7" t="s">
        <v>187</v>
      </c>
      <c r="B28" s="8" t="s">
        <v>188</v>
      </c>
      <c r="C28" s="8" t="s">
        <v>60</v>
      </c>
      <c r="D28" s="7" t="s">
        <v>61</v>
      </c>
      <c r="E28" s="8" t="s">
        <v>94</v>
      </c>
      <c r="F28" s="7" t="n">
        <v>60</v>
      </c>
      <c r="G28" s="9" t="s">
        <v>86</v>
      </c>
      <c r="H28" s="8" t="s">
        <v>28</v>
      </c>
      <c r="I28" s="7"/>
      <c r="J28" s="7"/>
      <c r="K28" s="8" t="s">
        <v>189</v>
      </c>
      <c r="L28" s="6" t="s">
        <v>31</v>
      </c>
      <c r="M28" s="7"/>
      <c r="N28" s="7" t="s">
        <v>48</v>
      </c>
      <c r="O28" s="8" t="s">
        <v>190</v>
      </c>
      <c r="P28" s="7"/>
      <c r="Q28" s="7"/>
      <c r="R28" s="8"/>
      <c r="S28" s="8"/>
      <c r="T28" s="8" t="s">
        <v>96</v>
      </c>
      <c r="U28" s="8"/>
    </row>
    <row r="29" customFormat="false" ht="36" hidden="false" customHeight="true" outlineLevel="0" collapsed="false">
      <c r="A29" s="3" t="s">
        <v>191</v>
      </c>
      <c r="B29" s="4" t="s">
        <v>192</v>
      </c>
      <c r="C29" s="4" t="s">
        <v>60</v>
      </c>
      <c r="D29" s="3" t="s">
        <v>61</v>
      </c>
      <c r="E29" s="4" t="s">
        <v>193</v>
      </c>
      <c r="F29" s="3" t="n">
        <v>80</v>
      </c>
      <c r="G29" s="9" t="s">
        <v>86</v>
      </c>
      <c r="H29" s="4" t="s">
        <v>28</v>
      </c>
      <c r="I29" s="3"/>
      <c r="J29" s="3"/>
      <c r="K29" s="4"/>
      <c r="L29" s="6" t="s">
        <v>31</v>
      </c>
      <c r="M29" s="3"/>
      <c r="N29" s="3" t="s">
        <v>174</v>
      </c>
      <c r="O29" s="4" t="s">
        <v>194</v>
      </c>
      <c r="P29" s="3"/>
      <c r="Q29" s="3"/>
      <c r="R29" s="4"/>
      <c r="S29" s="4"/>
      <c r="T29" s="4" t="s">
        <v>96</v>
      </c>
      <c r="U29" s="4"/>
    </row>
    <row r="30" customFormat="false" ht="36" hidden="false" customHeight="true" outlineLevel="0" collapsed="false">
      <c r="A30" s="7" t="s">
        <v>195</v>
      </c>
      <c r="B30" s="8" t="s">
        <v>196</v>
      </c>
      <c r="C30" s="8" t="s">
        <v>60</v>
      </c>
      <c r="D30" s="7" t="s">
        <v>61</v>
      </c>
      <c r="E30" s="8" t="s">
        <v>197</v>
      </c>
      <c r="F30" s="7" t="n">
        <v>160</v>
      </c>
      <c r="G30" s="9" t="s">
        <v>86</v>
      </c>
      <c r="H30" s="8" t="s">
        <v>28</v>
      </c>
      <c r="I30" s="7"/>
      <c r="J30" s="7"/>
      <c r="K30" s="8"/>
      <c r="L30" s="6" t="s">
        <v>31</v>
      </c>
      <c r="M30" s="7"/>
      <c r="N30" s="7" t="s">
        <v>174</v>
      </c>
      <c r="O30" s="8" t="s">
        <v>198</v>
      </c>
      <c r="P30" s="7"/>
      <c r="Q30" s="7"/>
      <c r="R30" s="8"/>
      <c r="S30" s="8"/>
      <c r="T30" s="8" t="s">
        <v>96</v>
      </c>
      <c r="U30" s="8"/>
    </row>
    <row r="31" customFormat="false" ht="36" hidden="false" customHeight="true" outlineLevel="0" collapsed="false">
      <c r="A31" s="3" t="s">
        <v>199</v>
      </c>
      <c r="B31" s="4" t="s">
        <v>200</v>
      </c>
      <c r="C31" s="4" t="s">
        <v>60</v>
      </c>
      <c r="D31" s="3" t="s">
        <v>61</v>
      </c>
      <c r="E31" s="4" t="s">
        <v>113</v>
      </c>
      <c r="F31" s="3" t="n">
        <v>100</v>
      </c>
      <c r="G31" s="9" t="s">
        <v>86</v>
      </c>
      <c r="H31" s="4" t="s">
        <v>28</v>
      </c>
      <c r="I31" s="3"/>
      <c r="J31" s="3"/>
      <c r="K31" s="4"/>
      <c r="L31" s="6" t="s">
        <v>31</v>
      </c>
      <c r="M31" s="3"/>
      <c r="N31" s="3" t="s">
        <v>174</v>
      </c>
      <c r="O31" s="4" t="s">
        <v>201</v>
      </c>
      <c r="P31" s="3"/>
      <c r="Q31" s="3"/>
      <c r="R31" s="4"/>
      <c r="S31" s="4"/>
      <c r="T31" s="4" t="s">
        <v>96</v>
      </c>
      <c r="U31" s="4"/>
    </row>
    <row r="32" customFormat="false" ht="36" hidden="false" customHeight="true" outlineLevel="0" collapsed="false">
      <c r="A32" s="7" t="s">
        <v>202</v>
      </c>
      <c r="B32" s="8" t="s">
        <v>203</v>
      </c>
      <c r="C32" s="8" t="s">
        <v>204</v>
      </c>
      <c r="D32" s="7" t="s">
        <v>124</v>
      </c>
      <c r="E32" s="8" t="s">
        <v>118</v>
      </c>
      <c r="F32" s="7" t="n">
        <v>65</v>
      </c>
      <c r="G32" s="9" t="s">
        <v>86</v>
      </c>
      <c r="H32" s="8" t="s">
        <v>28</v>
      </c>
      <c r="I32" s="7"/>
      <c r="J32" s="7"/>
      <c r="K32" s="8"/>
      <c r="L32" s="6" t="s">
        <v>31</v>
      </c>
      <c r="M32" s="7"/>
      <c r="N32" s="7" t="s">
        <v>174</v>
      </c>
      <c r="O32" s="8" t="s">
        <v>205</v>
      </c>
      <c r="P32" s="7"/>
      <c r="Q32" s="7"/>
      <c r="R32" s="8"/>
      <c r="S32" s="8"/>
      <c r="T32" s="8" t="s">
        <v>96</v>
      </c>
      <c r="U32" s="8"/>
    </row>
    <row r="33" customFormat="false" ht="36" hidden="false" customHeight="true" outlineLevel="0" collapsed="false">
      <c r="A33" s="3" t="s">
        <v>206</v>
      </c>
      <c r="B33" s="4" t="s">
        <v>207</v>
      </c>
      <c r="C33" s="4" t="s">
        <v>60</v>
      </c>
      <c r="D33" s="3" t="s">
        <v>61</v>
      </c>
      <c r="E33" s="4" t="s">
        <v>113</v>
      </c>
      <c r="F33" s="3" t="n">
        <v>90</v>
      </c>
      <c r="G33" s="9" t="s">
        <v>86</v>
      </c>
      <c r="H33" s="4" t="s">
        <v>28</v>
      </c>
      <c r="I33" s="3"/>
      <c r="J33" s="3"/>
      <c r="K33" s="4"/>
      <c r="L33" s="6" t="s">
        <v>31</v>
      </c>
      <c r="M33" s="3"/>
      <c r="N33" s="3" t="s">
        <v>174</v>
      </c>
      <c r="O33" s="4" t="s">
        <v>208</v>
      </c>
      <c r="P33" s="3"/>
      <c r="Q33" s="3"/>
      <c r="R33" s="4"/>
      <c r="S33" s="4"/>
      <c r="T33" s="4" t="s">
        <v>142</v>
      </c>
      <c r="U33" s="4"/>
    </row>
    <row r="34" customFormat="false" ht="36" hidden="false" customHeight="true" outlineLevel="0" collapsed="false">
      <c r="A34" s="7" t="s">
        <v>209</v>
      </c>
      <c r="B34" s="8" t="s">
        <v>210</v>
      </c>
      <c r="C34" s="8" t="s">
        <v>211</v>
      </c>
      <c r="D34" s="7" t="s">
        <v>124</v>
      </c>
      <c r="E34" s="8" t="s">
        <v>197</v>
      </c>
      <c r="F34" s="7" t="n">
        <v>200</v>
      </c>
      <c r="G34" s="5" t="s">
        <v>27</v>
      </c>
      <c r="H34" s="8" t="s">
        <v>28</v>
      </c>
      <c r="I34" s="7"/>
      <c r="J34" s="7"/>
      <c r="K34" s="8"/>
      <c r="L34" s="6" t="s">
        <v>31</v>
      </c>
      <c r="M34" s="7"/>
      <c r="N34" s="7" t="s">
        <v>32</v>
      </c>
      <c r="O34" s="8" t="s">
        <v>212</v>
      </c>
      <c r="P34" s="7"/>
      <c r="Q34" s="7"/>
      <c r="R34" s="8"/>
      <c r="S34" s="8"/>
      <c r="T34" s="8" t="s">
        <v>96</v>
      </c>
      <c r="U34" s="8"/>
    </row>
    <row r="35" customFormat="false" ht="36" hidden="false" customHeight="true" outlineLevel="0" collapsed="false">
      <c r="A35" s="3" t="s">
        <v>213</v>
      </c>
      <c r="B35" s="4" t="s">
        <v>214</v>
      </c>
      <c r="C35" s="4" t="s">
        <v>215</v>
      </c>
      <c r="D35" s="3" t="s">
        <v>124</v>
      </c>
      <c r="E35" s="4" t="s">
        <v>118</v>
      </c>
      <c r="F35" s="3" t="n">
        <v>85</v>
      </c>
      <c r="G35" s="9" t="s">
        <v>86</v>
      </c>
      <c r="H35" s="4" t="s">
        <v>28</v>
      </c>
      <c r="I35" s="3"/>
      <c r="J35" s="3"/>
      <c r="K35" s="4"/>
      <c r="L35" s="6" t="s">
        <v>31</v>
      </c>
      <c r="M35" s="3"/>
      <c r="N35" s="3" t="s">
        <v>32</v>
      </c>
      <c r="O35" s="4" t="s">
        <v>216</v>
      </c>
      <c r="P35" s="3"/>
      <c r="Q35" s="3"/>
      <c r="R35" s="4"/>
      <c r="S35" s="4"/>
      <c r="T35" s="4" t="s">
        <v>96</v>
      </c>
      <c r="U35" s="4"/>
    </row>
    <row r="36" customFormat="false" ht="36" hidden="false" customHeight="true" outlineLevel="0" collapsed="false">
      <c r="A36" s="7" t="s">
        <v>217</v>
      </c>
      <c r="B36" s="8" t="s">
        <v>218</v>
      </c>
      <c r="C36" s="8" t="s">
        <v>219</v>
      </c>
      <c r="D36" s="7" t="s">
        <v>124</v>
      </c>
      <c r="E36" s="8" t="s">
        <v>38</v>
      </c>
      <c r="F36" s="7" t="n">
        <v>65</v>
      </c>
      <c r="G36" s="9" t="s">
        <v>86</v>
      </c>
      <c r="H36" s="8" t="s">
        <v>28</v>
      </c>
      <c r="I36" s="7"/>
      <c r="J36" s="7"/>
      <c r="K36" s="8"/>
      <c r="L36" s="6" t="s">
        <v>31</v>
      </c>
      <c r="M36" s="7"/>
      <c r="N36" s="7" t="s">
        <v>32</v>
      </c>
      <c r="O36" s="8" t="s">
        <v>220</v>
      </c>
      <c r="P36" s="7"/>
      <c r="Q36" s="7"/>
      <c r="R36" s="8"/>
      <c r="S36" s="8"/>
      <c r="T36" s="8" t="s">
        <v>96</v>
      </c>
      <c r="U36" s="8"/>
    </row>
    <row r="37" customFormat="false" ht="36" hidden="false" customHeight="true" outlineLevel="0" collapsed="false">
      <c r="A37" s="3" t="s">
        <v>221</v>
      </c>
      <c r="B37" s="4" t="s">
        <v>222</v>
      </c>
      <c r="C37" s="4" t="s">
        <v>223</v>
      </c>
      <c r="D37" s="3" t="s">
        <v>124</v>
      </c>
      <c r="E37" s="4" t="s">
        <v>118</v>
      </c>
      <c r="F37" s="3" t="n">
        <v>70</v>
      </c>
      <c r="G37" s="9" t="s">
        <v>86</v>
      </c>
      <c r="H37" s="4" t="s">
        <v>28</v>
      </c>
      <c r="I37" s="3"/>
      <c r="J37" s="3"/>
      <c r="K37" s="4"/>
      <c r="L37" s="6" t="s">
        <v>31</v>
      </c>
      <c r="M37" s="3"/>
      <c r="N37" s="3" t="s">
        <v>32</v>
      </c>
      <c r="O37" s="4" t="s">
        <v>224</v>
      </c>
      <c r="P37" s="3"/>
      <c r="Q37" s="3"/>
      <c r="R37" s="4"/>
      <c r="S37" s="4"/>
      <c r="T37" s="4" t="s">
        <v>96</v>
      </c>
      <c r="U37" s="4"/>
    </row>
    <row r="38" customFormat="false" ht="36" hidden="false" customHeight="true" outlineLevel="0" collapsed="false">
      <c r="A38" s="7" t="s">
        <v>225</v>
      </c>
      <c r="B38" s="8" t="s">
        <v>226</v>
      </c>
      <c r="C38" s="8" t="s">
        <v>227</v>
      </c>
      <c r="D38" s="7" t="s">
        <v>124</v>
      </c>
      <c r="E38" s="8" t="s">
        <v>46</v>
      </c>
      <c r="F38" s="7" t="n">
        <v>60</v>
      </c>
      <c r="G38" s="9" t="s">
        <v>86</v>
      </c>
      <c r="H38" s="8" t="s">
        <v>28</v>
      </c>
      <c r="I38" s="7"/>
      <c r="J38" s="7"/>
      <c r="K38" s="8"/>
      <c r="L38" s="6" t="s">
        <v>31</v>
      </c>
      <c r="M38" s="7"/>
      <c r="N38" s="7" t="s">
        <v>32</v>
      </c>
      <c r="O38" s="8" t="s">
        <v>228</v>
      </c>
      <c r="P38" s="7"/>
      <c r="Q38" s="7"/>
      <c r="R38" s="8"/>
      <c r="S38" s="8"/>
      <c r="T38" s="8" t="s">
        <v>142</v>
      </c>
      <c r="U38" s="8"/>
    </row>
    <row r="39" customFormat="false" ht="36" hidden="false" customHeight="true" outlineLevel="0" collapsed="false">
      <c r="A39" s="3" t="s">
        <v>229</v>
      </c>
      <c r="B39" s="4" t="s">
        <v>230</v>
      </c>
      <c r="C39" s="4" t="s">
        <v>231</v>
      </c>
      <c r="D39" s="3" t="s">
        <v>124</v>
      </c>
      <c r="E39" s="4" t="s">
        <v>118</v>
      </c>
      <c r="F39" s="3" t="n">
        <v>90</v>
      </c>
      <c r="G39" s="9" t="s">
        <v>86</v>
      </c>
      <c r="H39" s="4" t="s">
        <v>28</v>
      </c>
      <c r="I39" s="3"/>
      <c r="J39" s="3"/>
      <c r="K39" s="4"/>
      <c r="L39" s="6" t="s">
        <v>31</v>
      </c>
      <c r="M39" s="3"/>
      <c r="N39" s="3" t="s">
        <v>32</v>
      </c>
      <c r="O39" s="4" t="s">
        <v>232</v>
      </c>
      <c r="P39" s="3"/>
      <c r="Q39" s="3"/>
      <c r="R39" s="4"/>
      <c r="S39" s="4"/>
      <c r="T39" s="4" t="s">
        <v>142</v>
      </c>
      <c r="U39" s="4"/>
    </row>
    <row r="40" customFormat="false" ht="36" hidden="false" customHeight="true" outlineLevel="0" collapsed="false">
      <c r="A40" s="7" t="s">
        <v>233</v>
      </c>
      <c r="B40" s="8" t="s">
        <v>234</v>
      </c>
      <c r="C40" s="8" t="s">
        <v>235</v>
      </c>
      <c r="D40" s="7" t="s">
        <v>124</v>
      </c>
      <c r="E40" s="8" t="s">
        <v>236</v>
      </c>
      <c r="F40" s="7" t="n">
        <v>65</v>
      </c>
      <c r="G40" s="9" t="s">
        <v>86</v>
      </c>
      <c r="H40" s="8" t="s">
        <v>28</v>
      </c>
      <c r="I40" s="7"/>
      <c r="J40" s="7"/>
      <c r="K40" s="8"/>
      <c r="L40" s="6" t="s">
        <v>31</v>
      </c>
      <c r="M40" s="7"/>
      <c r="N40" s="7" t="s">
        <v>32</v>
      </c>
      <c r="O40" s="8" t="s">
        <v>237</v>
      </c>
      <c r="P40" s="7"/>
      <c r="Q40" s="7"/>
      <c r="R40" s="8"/>
      <c r="S40" s="8"/>
      <c r="T40" s="8" t="s">
        <v>142</v>
      </c>
      <c r="U40" s="8"/>
    </row>
    <row r="41" customFormat="false" ht="36" hidden="false" customHeight="true" outlineLevel="0" collapsed="false">
      <c r="A41" s="3" t="s">
        <v>238</v>
      </c>
      <c r="B41" s="4" t="s">
        <v>239</v>
      </c>
      <c r="C41" s="4" t="s">
        <v>240</v>
      </c>
      <c r="D41" s="3" t="s">
        <v>124</v>
      </c>
      <c r="E41" s="4" t="s">
        <v>118</v>
      </c>
      <c r="F41" s="3" t="n">
        <v>110</v>
      </c>
      <c r="G41" s="5" t="s">
        <v>27</v>
      </c>
      <c r="H41" s="4" t="s">
        <v>28</v>
      </c>
      <c r="I41" s="3"/>
      <c r="J41" s="3"/>
      <c r="K41" s="4"/>
      <c r="L41" s="6" t="s">
        <v>31</v>
      </c>
      <c r="M41" s="3"/>
      <c r="N41" s="3" t="s">
        <v>32</v>
      </c>
      <c r="O41" s="4" t="s">
        <v>241</v>
      </c>
      <c r="P41" s="3"/>
      <c r="Q41" s="3"/>
      <c r="R41" s="4"/>
      <c r="S41" s="4"/>
      <c r="T41" s="4" t="s">
        <v>96</v>
      </c>
      <c r="U41" s="4"/>
    </row>
    <row r="42" customFormat="false" ht="36" hidden="false" customHeight="true" outlineLevel="0" collapsed="false">
      <c r="A42" s="7" t="s">
        <v>242</v>
      </c>
      <c r="B42" s="8" t="s">
        <v>243</v>
      </c>
      <c r="C42" s="8" t="s">
        <v>244</v>
      </c>
      <c r="D42" s="7" t="s">
        <v>124</v>
      </c>
      <c r="E42" s="8" t="s">
        <v>185</v>
      </c>
      <c r="F42" s="7" t="n">
        <v>250</v>
      </c>
      <c r="G42" s="5" t="s">
        <v>27</v>
      </c>
      <c r="H42" s="8" t="s">
        <v>28</v>
      </c>
      <c r="I42" s="7"/>
      <c r="J42" s="7"/>
      <c r="K42" s="8"/>
      <c r="L42" s="6" t="s">
        <v>31</v>
      </c>
      <c r="M42" s="7"/>
      <c r="N42" s="7" t="s">
        <v>32</v>
      </c>
      <c r="O42" s="8" t="s">
        <v>245</v>
      </c>
      <c r="P42" s="7"/>
      <c r="Q42" s="7"/>
      <c r="R42" s="8"/>
      <c r="S42" s="8"/>
      <c r="T42" s="8" t="s">
        <v>96</v>
      </c>
      <c r="U42" s="8"/>
    </row>
    <row r="43" customFormat="false" ht="36" hidden="false" customHeight="true" outlineLevel="0" collapsed="false">
      <c r="A43" s="3" t="s">
        <v>246</v>
      </c>
      <c r="B43" s="4" t="s">
        <v>247</v>
      </c>
      <c r="C43" s="4" t="s">
        <v>248</v>
      </c>
      <c r="D43" s="3" t="s">
        <v>25</v>
      </c>
      <c r="E43" s="4" t="s">
        <v>118</v>
      </c>
      <c r="F43" s="3" t="n">
        <v>70</v>
      </c>
      <c r="G43" s="5" t="s">
        <v>27</v>
      </c>
      <c r="H43" s="4" t="s">
        <v>28</v>
      </c>
      <c r="I43" s="3"/>
      <c r="J43" s="3"/>
      <c r="K43" s="4"/>
      <c r="L43" s="6" t="s">
        <v>31</v>
      </c>
      <c r="M43" s="3"/>
      <c r="N43" s="3" t="s">
        <v>32</v>
      </c>
      <c r="O43" s="4" t="s">
        <v>249</v>
      </c>
      <c r="P43" s="3"/>
      <c r="Q43" s="3"/>
      <c r="R43" s="4"/>
      <c r="S43" s="4"/>
      <c r="T43" s="4" t="s">
        <v>170</v>
      </c>
      <c r="U43" s="4"/>
    </row>
    <row r="44" customFormat="false" ht="36" hidden="false" customHeight="true" outlineLevel="0" collapsed="false">
      <c r="A44" s="7" t="s">
        <v>250</v>
      </c>
      <c r="B44" s="8" t="s">
        <v>251</v>
      </c>
      <c r="C44" s="8" t="s">
        <v>252</v>
      </c>
      <c r="D44" s="7" t="s">
        <v>25</v>
      </c>
      <c r="E44" s="8" t="s">
        <v>38</v>
      </c>
      <c r="F44" s="7" t="n">
        <v>60</v>
      </c>
      <c r="G44" s="5" t="s">
        <v>27</v>
      </c>
      <c r="H44" s="8" t="s">
        <v>28</v>
      </c>
      <c r="I44" s="7"/>
      <c r="J44" s="7"/>
      <c r="K44" s="8"/>
      <c r="L44" s="6" t="s">
        <v>31</v>
      </c>
      <c r="M44" s="7"/>
      <c r="N44" s="7" t="s">
        <v>32</v>
      </c>
      <c r="O44" s="8" t="s">
        <v>253</v>
      </c>
      <c r="P44" s="7"/>
      <c r="Q44" s="7"/>
      <c r="R44" s="8"/>
      <c r="S44" s="8"/>
      <c r="T44" s="8" t="s">
        <v>96</v>
      </c>
      <c r="U44" s="8"/>
    </row>
    <row r="45" customFormat="false" ht="36" hidden="false" customHeight="true" outlineLevel="0" collapsed="false">
      <c r="A45" s="3" t="s">
        <v>254</v>
      </c>
      <c r="B45" s="4" t="s">
        <v>255</v>
      </c>
      <c r="C45" s="4" t="s">
        <v>248</v>
      </c>
      <c r="D45" s="3" t="s">
        <v>25</v>
      </c>
      <c r="E45" s="4" t="s">
        <v>131</v>
      </c>
      <c r="F45" s="3" t="n">
        <v>75</v>
      </c>
      <c r="G45" s="5" t="s">
        <v>27</v>
      </c>
      <c r="H45" s="4" t="s">
        <v>28</v>
      </c>
      <c r="I45" s="3"/>
      <c r="J45" s="3"/>
      <c r="K45" s="4"/>
      <c r="L45" s="6" t="s">
        <v>31</v>
      </c>
      <c r="M45" s="3"/>
      <c r="N45" s="3" t="s">
        <v>32</v>
      </c>
      <c r="O45" s="4" t="s">
        <v>256</v>
      </c>
      <c r="P45" s="3"/>
      <c r="Q45" s="3"/>
      <c r="R45" s="4"/>
      <c r="S45" s="4"/>
      <c r="T45" s="4" t="s">
        <v>170</v>
      </c>
      <c r="U45" s="4"/>
    </row>
    <row r="46" customFormat="false" ht="36" hidden="false" customHeight="true" outlineLevel="0" collapsed="false">
      <c r="A46" s="7" t="s">
        <v>257</v>
      </c>
      <c r="B46" s="8" t="s">
        <v>258</v>
      </c>
      <c r="C46" s="8" t="s">
        <v>259</v>
      </c>
      <c r="D46" s="7" t="s">
        <v>124</v>
      </c>
      <c r="E46" s="8" t="s">
        <v>46</v>
      </c>
      <c r="F46" s="7" t="n">
        <v>55</v>
      </c>
      <c r="G46" s="5" t="s">
        <v>27</v>
      </c>
      <c r="H46" s="8" t="s">
        <v>28</v>
      </c>
      <c r="I46" s="7"/>
      <c r="J46" s="7"/>
      <c r="K46" s="8"/>
      <c r="L46" s="6" t="s">
        <v>31</v>
      </c>
      <c r="M46" s="7"/>
      <c r="N46" s="7" t="s">
        <v>32</v>
      </c>
      <c r="O46" s="8" t="s">
        <v>260</v>
      </c>
      <c r="P46" s="7"/>
      <c r="Q46" s="7"/>
      <c r="R46" s="8"/>
      <c r="S46" s="8"/>
      <c r="T46" s="8" t="s">
        <v>96</v>
      </c>
      <c r="U46" s="8"/>
    </row>
    <row r="47" customFormat="false" ht="36" hidden="false" customHeight="true" outlineLevel="0" collapsed="false">
      <c r="A47" s="3" t="s">
        <v>261</v>
      </c>
      <c r="B47" s="4" t="s">
        <v>262</v>
      </c>
      <c r="C47" s="4" t="s">
        <v>259</v>
      </c>
      <c r="D47" s="3" t="s">
        <v>124</v>
      </c>
      <c r="E47" s="4" t="s">
        <v>46</v>
      </c>
      <c r="F47" s="3" t="n">
        <v>65</v>
      </c>
      <c r="G47" s="5" t="s">
        <v>27</v>
      </c>
      <c r="H47" s="4" t="s">
        <v>28</v>
      </c>
      <c r="I47" s="3"/>
      <c r="J47" s="3"/>
      <c r="K47" s="4"/>
      <c r="L47" s="6" t="s">
        <v>31</v>
      </c>
      <c r="M47" s="3"/>
      <c r="N47" s="3" t="s">
        <v>32</v>
      </c>
      <c r="O47" s="4" t="s">
        <v>263</v>
      </c>
      <c r="P47" s="3"/>
      <c r="Q47" s="3"/>
      <c r="R47" s="4"/>
      <c r="S47" s="4"/>
      <c r="T47" s="4" t="s">
        <v>96</v>
      </c>
      <c r="U47" s="4"/>
    </row>
    <row r="48" customFormat="false" ht="36" hidden="false" customHeight="true" outlineLevel="0" collapsed="false">
      <c r="A48" s="7" t="s">
        <v>264</v>
      </c>
      <c r="B48" s="8" t="s">
        <v>265</v>
      </c>
      <c r="C48" s="8" t="s">
        <v>266</v>
      </c>
      <c r="D48" s="7" t="s">
        <v>124</v>
      </c>
      <c r="E48" s="8" t="s">
        <v>118</v>
      </c>
      <c r="F48" s="7" t="n">
        <v>90</v>
      </c>
      <c r="G48" s="5" t="s">
        <v>27</v>
      </c>
      <c r="H48" s="8" t="s">
        <v>28</v>
      </c>
      <c r="I48" s="7"/>
      <c r="J48" s="7"/>
      <c r="K48" s="8"/>
      <c r="L48" s="6" t="s">
        <v>31</v>
      </c>
      <c r="M48" s="7"/>
      <c r="N48" s="7" t="s">
        <v>32</v>
      </c>
      <c r="O48" s="8" t="s">
        <v>267</v>
      </c>
      <c r="P48" s="7"/>
      <c r="Q48" s="7"/>
      <c r="R48" s="8"/>
      <c r="S48" s="8"/>
      <c r="T48" s="8" t="s">
        <v>96</v>
      </c>
      <c r="U48" s="8"/>
    </row>
    <row r="49" customFormat="false" ht="36" hidden="false" customHeight="true" outlineLevel="0" collapsed="false">
      <c r="A49" s="3" t="s">
        <v>268</v>
      </c>
      <c r="B49" s="4" t="s">
        <v>269</v>
      </c>
      <c r="C49" s="4" t="s">
        <v>270</v>
      </c>
      <c r="D49" s="3" t="s">
        <v>124</v>
      </c>
      <c r="E49" s="4" t="s">
        <v>118</v>
      </c>
      <c r="F49" s="3" t="n">
        <v>80</v>
      </c>
      <c r="G49" s="9" t="s">
        <v>86</v>
      </c>
      <c r="H49" s="4" t="s">
        <v>28</v>
      </c>
      <c r="I49" s="3"/>
      <c r="J49" s="3"/>
      <c r="K49" s="4"/>
      <c r="L49" s="6" t="s">
        <v>31</v>
      </c>
      <c r="M49" s="3"/>
      <c r="N49" s="3" t="s">
        <v>32</v>
      </c>
      <c r="O49" s="4" t="s">
        <v>271</v>
      </c>
      <c r="P49" s="3"/>
      <c r="Q49" s="3"/>
      <c r="R49" s="4"/>
      <c r="S49" s="4"/>
      <c r="T49" s="4" t="s">
        <v>142</v>
      </c>
      <c r="U49" s="4"/>
    </row>
    <row r="50" customFormat="false" ht="36" hidden="false" customHeight="true" outlineLevel="0" collapsed="false">
      <c r="A50" s="7" t="s">
        <v>272</v>
      </c>
      <c r="B50" s="8" t="s">
        <v>273</v>
      </c>
      <c r="C50" s="8" t="s">
        <v>274</v>
      </c>
      <c r="D50" s="7" t="s">
        <v>124</v>
      </c>
      <c r="E50" s="8" t="s">
        <v>46</v>
      </c>
      <c r="F50" s="7" t="n">
        <v>55</v>
      </c>
      <c r="G50" s="9" t="s">
        <v>86</v>
      </c>
      <c r="H50" s="8" t="s">
        <v>28</v>
      </c>
      <c r="I50" s="7"/>
      <c r="J50" s="7"/>
      <c r="K50" s="8"/>
      <c r="L50" s="6" t="s">
        <v>31</v>
      </c>
      <c r="M50" s="7"/>
      <c r="N50" s="7" t="s">
        <v>32</v>
      </c>
      <c r="O50" s="8" t="s">
        <v>275</v>
      </c>
      <c r="P50" s="7"/>
      <c r="Q50" s="7"/>
      <c r="R50" s="8"/>
      <c r="S50" s="8"/>
      <c r="T50" s="8" t="s">
        <v>142</v>
      </c>
      <c r="U50" s="8"/>
    </row>
    <row r="51" customFormat="false" ht="36" hidden="false" customHeight="true" outlineLevel="0" collapsed="false">
      <c r="A51" s="3" t="s">
        <v>276</v>
      </c>
      <c r="B51" s="4" t="s">
        <v>277</v>
      </c>
      <c r="C51" s="4" t="s">
        <v>278</v>
      </c>
      <c r="D51" s="3" t="s">
        <v>25</v>
      </c>
      <c r="E51" s="4" t="s">
        <v>118</v>
      </c>
      <c r="F51" s="3" t="n">
        <v>80</v>
      </c>
      <c r="G51" s="9" t="s">
        <v>86</v>
      </c>
      <c r="H51" s="4" t="s">
        <v>28</v>
      </c>
      <c r="I51" s="3"/>
      <c r="J51" s="3"/>
      <c r="K51" s="4"/>
      <c r="L51" s="6" t="s">
        <v>31</v>
      </c>
      <c r="M51" s="3"/>
      <c r="N51" s="3" t="s">
        <v>32</v>
      </c>
      <c r="O51" s="4" t="s">
        <v>279</v>
      </c>
      <c r="P51" s="3"/>
      <c r="Q51" s="3"/>
      <c r="R51" s="4"/>
      <c r="S51" s="4"/>
      <c r="T51" s="4" t="s">
        <v>142</v>
      </c>
      <c r="U51" s="4"/>
    </row>
    <row r="52" customFormat="false" ht="36" hidden="false" customHeight="true" outlineLevel="0" collapsed="false">
      <c r="A52" s="7" t="s">
        <v>280</v>
      </c>
      <c r="B52" s="8" t="s">
        <v>281</v>
      </c>
      <c r="C52" s="8" t="s">
        <v>278</v>
      </c>
      <c r="D52" s="7" t="s">
        <v>25</v>
      </c>
      <c r="E52" s="8" t="s">
        <v>118</v>
      </c>
      <c r="F52" s="7" t="n">
        <v>65</v>
      </c>
      <c r="G52" s="9" t="s">
        <v>86</v>
      </c>
      <c r="H52" s="8" t="s">
        <v>28</v>
      </c>
      <c r="I52" s="7"/>
      <c r="J52" s="7"/>
      <c r="K52" s="8"/>
      <c r="L52" s="6" t="s">
        <v>31</v>
      </c>
      <c r="M52" s="7"/>
      <c r="N52" s="7" t="s">
        <v>32</v>
      </c>
      <c r="O52" s="8" t="s">
        <v>282</v>
      </c>
      <c r="P52" s="7"/>
      <c r="Q52" s="7"/>
      <c r="R52" s="8"/>
      <c r="S52" s="8"/>
      <c r="T52" s="8" t="s">
        <v>142</v>
      </c>
      <c r="U52" s="8"/>
    </row>
    <row r="53" customFormat="false" ht="36" hidden="false" customHeight="true" outlineLevel="0" collapsed="false">
      <c r="A53" s="3" t="s">
        <v>283</v>
      </c>
      <c r="B53" s="4" t="s">
        <v>284</v>
      </c>
      <c r="C53" s="4" t="s">
        <v>285</v>
      </c>
      <c r="D53" s="3" t="s">
        <v>146</v>
      </c>
      <c r="E53" s="4" t="s">
        <v>118</v>
      </c>
      <c r="F53" s="3" t="n">
        <v>75</v>
      </c>
      <c r="G53" s="9" t="s">
        <v>86</v>
      </c>
      <c r="H53" s="4" t="s">
        <v>28</v>
      </c>
      <c r="I53" s="3"/>
      <c r="J53" s="3"/>
      <c r="K53" s="4"/>
      <c r="L53" s="6" t="s">
        <v>31</v>
      </c>
      <c r="M53" s="3"/>
      <c r="N53" s="3" t="s">
        <v>32</v>
      </c>
      <c r="O53" s="4" t="s">
        <v>286</v>
      </c>
      <c r="P53" s="3"/>
      <c r="Q53" s="3"/>
      <c r="R53" s="4"/>
      <c r="S53" s="4"/>
      <c r="T53" s="4" t="s">
        <v>142</v>
      </c>
      <c r="U53" s="4"/>
    </row>
    <row r="54" customFormat="false" ht="36" hidden="false" customHeight="true" outlineLevel="0" collapsed="false">
      <c r="A54" s="7" t="s">
        <v>287</v>
      </c>
      <c r="B54" s="8" t="s">
        <v>288</v>
      </c>
      <c r="C54" s="8" t="s">
        <v>289</v>
      </c>
      <c r="D54" s="7" t="s">
        <v>146</v>
      </c>
      <c r="E54" s="8" t="s">
        <v>290</v>
      </c>
      <c r="F54" s="7" t="n">
        <v>90</v>
      </c>
      <c r="G54" s="9" t="s">
        <v>86</v>
      </c>
      <c r="H54" s="8" t="s">
        <v>28</v>
      </c>
      <c r="I54" s="7"/>
      <c r="J54" s="7"/>
      <c r="K54" s="8"/>
      <c r="L54" s="6" t="s">
        <v>31</v>
      </c>
      <c r="M54" s="7"/>
      <c r="N54" s="7" t="s">
        <v>32</v>
      </c>
      <c r="O54" s="8" t="s">
        <v>291</v>
      </c>
      <c r="P54" s="7"/>
      <c r="Q54" s="7"/>
      <c r="R54" s="8"/>
      <c r="S54" s="8"/>
      <c r="T54" s="8" t="s">
        <v>142</v>
      </c>
      <c r="U54" s="8"/>
    </row>
    <row r="55" customFormat="false" ht="36" hidden="false" customHeight="true" outlineLevel="0" collapsed="false">
      <c r="A55" s="3" t="s">
        <v>292</v>
      </c>
      <c r="B55" s="4" t="s">
        <v>293</v>
      </c>
      <c r="C55" s="4" t="s">
        <v>294</v>
      </c>
      <c r="D55" s="3" t="s">
        <v>146</v>
      </c>
      <c r="E55" s="4" t="s">
        <v>236</v>
      </c>
      <c r="F55" s="3" t="n">
        <v>80</v>
      </c>
      <c r="G55" s="9" t="s">
        <v>86</v>
      </c>
      <c r="H55" s="4" t="s">
        <v>28</v>
      </c>
      <c r="I55" s="3"/>
      <c r="J55" s="3"/>
      <c r="K55" s="4"/>
      <c r="L55" s="6" t="s">
        <v>31</v>
      </c>
      <c r="M55" s="3"/>
      <c r="N55" s="3" t="s">
        <v>32</v>
      </c>
      <c r="O55" s="4" t="s">
        <v>295</v>
      </c>
      <c r="P55" s="3"/>
      <c r="Q55" s="3"/>
      <c r="R55" s="4"/>
      <c r="S55" s="4"/>
      <c r="T55" s="4" t="s">
        <v>142</v>
      </c>
      <c r="U55" s="4"/>
    </row>
    <row r="56" customFormat="false" ht="36" hidden="false" customHeight="true" outlineLevel="0" collapsed="false">
      <c r="A56" s="7" t="s">
        <v>296</v>
      </c>
      <c r="B56" s="8" t="s">
        <v>297</v>
      </c>
      <c r="C56" s="8" t="s">
        <v>298</v>
      </c>
      <c r="D56" s="7" t="s">
        <v>146</v>
      </c>
      <c r="E56" s="8" t="s">
        <v>118</v>
      </c>
      <c r="F56" s="7" t="n">
        <v>60</v>
      </c>
      <c r="G56" s="10" t="s">
        <v>139</v>
      </c>
      <c r="H56" s="8" t="s">
        <v>28</v>
      </c>
      <c r="I56" s="7"/>
      <c r="J56" s="7"/>
      <c r="K56" s="8"/>
      <c r="L56" s="6" t="s">
        <v>31</v>
      </c>
      <c r="M56" s="7"/>
      <c r="N56" s="7" t="s">
        <v>174</v>
      </c>
      <c r="O56" s="8" t="s">
        <v>299</v>
      </c>
      <c r="P56" s="7"/>
      <c r="Q56" s="7"/>
      <c r="R56" s="8"/>
      <c r="S56" s="8"/>
      <c r="T56" s="8" t="s">
        <v>176</v>
      </c>
      <c r="U56" s="8"/>
    </row>
    <row r="57" customFormat="false" ht="36" hidden="false" customHeight="true" outlineLevel="0" collapsed="false">
      <c r="A57" s="3" t="s">
        <v>300</v>
      </c>
      <c r="B57" s="4" t="s">
        <v>301</v>
      </c>
      <c r="C57" s="4" t="s">
        <v>302</v>
      </c>
      <c r="D57" s="3" t="s">
        <v>146</v>
      </c>
      <c r="E57" s="4" t="s">
        <v>46</v>
      </c>
      <c r="F57" s="3" t="n">
        <v>55</v>
      </c>
      <c r="G57" s="10" t="s">
        <v>139</v>
      </c>
      <c r="H57" s="4" t="s">
        <v>28</v>
      </c>
      <c r="I57" s="3"/>
      <c r="J57" s="3"/>
      <c r="K57" s="4"/>
      <c r="L57" s="6" t="s">
        <v>31</v>
      </c>
      <c r="M57" s="3"/>
      <c r="N57" s="3" t="s">
        <v>174</v>
      </c>
      <c r="O57" s="4" t="s">
        <v>303</v>
      </c>
      <c r="P57" s="3"/>
      <c r="Q57" s="3"/>
      <c r="R57" s="4"/>
      <c r="S57" s="4"/>
      <c r="T57" s="4" t="s">
        <v>176</v>
      </c>
      <c r="U57" s="4"/>
    </row>
    <row r="58" customFormat="false" ht="36" hidden="false" customHeight="true" outlineLevel="0" collapsed="false">
      <c r="A58" s="7" t="s">
        <v>304</v>
      </c>
      <c r="B58" s="8" t="s">
        <v>305</v>
      </c>
      <c r="C58" s="8" t="s">
        <v>146</v>
      </c>
      <c r="D58" s="7" t="s">
        <v>146</v>
      </c>
      <c r="E58" s="8" t="s">
        <v>306</v>
      </c>
      <c r="F58" s="7" t="n">
        <v>130</v>
      </c>
      <c r="G58" s="9" t="s">
        <v>86</v>
      </c>
      <c r="H58" s="8" t="s">
        <v>28</v>
      </c>
      <c r="I58" s="7"/>
      <c r="J58" s="7"/>
      <c r="K58" s="8"/>
      <c r="L58" s="6" t="s">
        <v>31</v>
      </c>
      <c r="M58" s="7"/>
      <c r="N58" s="7" t="s">
        <v>32</v>
      </c>
      <c r="O58" s="8" t="s">
        <v>307</v>
      </c>
      <c r="P58" s="7"/>
      <c r="Q58" s="7"/>
      <c r="R58" s="8"/>
      <c r="S58" s="8"/>
      <c r="T58" s="8" t="s">
        <v>142</v>
      </c>
      <c r="U58" s="8"/>
    </row>
    <row r="59" customFormat="false" ht="36" hidden="false" customHeight="true" outlineLevel="0" collapsed="false">
      <c r="A59" s="3" t="s">
        <v>308</v>
      </c>
      <c r="B59" s="4" t="s">
        <v>309</v>
      </c>
      <c r="C59" s="4" t="s">
        <v>310</v>
      </c>
      <c r="D59" s="3" t="s">
        <v>137</v>
      </c>
      <c r="E59" s="4" t="s">
        <v>46</v>
      </c>
      <c r="F59" s="3" t="n">
        <v>50</v>
      </c>
      <c r="G59" s="10" t="s">
        <v>139</v>
      </c>
      <c r="H59" s="4" t="s">
        <v>28</v>
      </c>
      <c r="I59" s="3"/>
      <c r="J59" s="3"/>
      <c r="K59" s="4"/>
      <c r="L59" s="6" t="s">
        <v>31</v>
      </c>
      <c r="M59" s="3"/>
      <c r="N59" s="3" t="s">
        <v>174</v>
      </c>
      <c r="O59" s="4" t="s">
        <v>311</v>
      </c>
      <c r="P59" s="3"/>
      <c r="Q59" s="3"/>
      <c r="R59" s="4"/>
      <c r="S59" s="4"/>
      <c r="T59" s="4" t="s">
        <v>176</v>
      </c>
      <c r="U59" s="4"/>
    </row>
    <row r="60" customFormat="false" ht="36" hidden="false" customHeight="true" outlineLevel="0" collapsed="false">
      <c r="A60" s="7" t="s">
        <v>312</v>
      </c>
      <c r="B60" s="8" t="s">
        <v>313</v>
      </c>
      <c r="C60" s="8" t="s">
        <v>314</v>
      </c>
      <c r="D60" s="7" t="s">
        <v>315</v>
      </c>
      <c r="E60" s="8" t="s">
        <v>46</v>
      </c>
      <c r="F60" s="7" t="n">
        <v>50</v>
      </c>
      <c r="G60" s="10" t="s">
        <v>139</v>
      </c>
      <c r="H60" s="8" t="s">
        <v>28</v>
      </c>
      <c r="I60" s="7"/>
      <c r="J60" s="7"/>
      <c r="K60" s="8"/>
      <c r="L60" s="6" t="s">
        <v>31</v>
      </c>
      <c r="M60" s="7"/>
      <c r="N60" s="7" t="s">
        <v>174</v>
      </c>
      <c r="O60" s="8" t="s">
        <v>316</v>
      </c>
      <c r="P60" s="7"/>
      <c r="Q60" s="7"/>
      <c r="R60" s="8"/>
      <c r="S60" s="8"/>
      <c r="T60" s="8" t="s">
        <v>176</v>
      </c>
      <c r="U60" s="8"/>
    </row>
    <row r="61" customFormat="false" ht="36" hidden="false" customHeight="true" outlineLevel="0" collapsed="false">
      <c r="A61" s="3" t="s">
        <v>317</v>
      </c>
      <c r="B61" s="4" t="s">
        <v>318</v>
      </c>
      <c r="C61" s="4" t="s">
        <v>319</v>
      </c>
      <c r="D61" s="3" t="s">
        <v>315</v>
      </c>
      <c r="E61" s="4" t="s">
        <v>46</v>
      </c>
      <c r="F61" s="3" t="n">
        <v>55</v>
      </c>
      <c r="G61" s="10" t="s">
        <v>139</v>
      </c>
      <c r="H61" s="4" t="s">
        <v>28</v>
      </c>
      <c r="I61" s="3"/>
      <c r="J61" s="3"/>
      <c r="K61" s="4"/>
      <c r="L61" s="6" t="s">
        <v>31</v>
      </c>
      <c r="M61" s="3"/>
      <c r="N61" s="3" t="s">
        <v>174</v>
      </c>
      <c r="O61" s="4" t="s">
        <v>320</v>
      </c>
      <c r="P61" s="3"/>
      <c r="Q61" s="3"/>
      <c r="R61" s="4"/>
      <c r="S61" s="4"/>
      <c r="T61" s="4" t="s">
        <v>176</v>
      </c>
      <c r="U61" s="4"/>
    </row>
    <row r="62" customFormat="false" ht="36" hidden="false" customHeight="true" outlineLevel="0" collapsed="false">
      <c r="A62" s="7" t="s">
        <v>321</v>
      </c>
      <c r="B62" s="8" t="s">
        <v>322</v>
      </c>
      <c r="C62" s="8" t="s">
        <v>323</v>
      </c>
      <c r="D62" s="7" t="s">
        <v>315</v>
      </c>
      <c r="E62" s="8" t="s">
        <v>118</v>
      </c>
      <c r="F62" s="7" t="n">
        <v>70</v>
      </c>
      <c r="G62" s="9" t="s">
        <v>86</v>
      </c>
      <c r="H62" s="8" t="s">
        <v>28</v>
      </c>
      <c r="I62" s="7"/>
      <c r="J62" s="7"/>
      <c r="K62" s="8" t="s">
        <v>324</v>
      </c>
      <c r="L62" s="6" t="s">
        <v>31</v>
      </c>
      <c r="M62" s="7"/>
      <c r="N62" s="7" t="s">
        <v>32</v>
      </c>
      <c r="O62" s="8" t="s">
        <v>325</v>
      </c>
      <c r="P62" s="7"/>
      <c r="Q62" s="7"/>
      <c r="R62" s="8"/>
      <c r="S62" s="8"/>
      <c r="T62" s="8" t="s">
        <v>142</v>
      </c>
      <c r="U62" s="8"/>
    </row>
    <row r="63" customFormat="false" ht="36" hidden="false" customHeight="true" outlineLevel="0" collapsed="false">
      <c r="A63" s="3" t="s">
        <v>326</v>
      </c>
      <c r="B63" s="4" t="s">
        <v>327</v>
      </c>
      <c r="C63" s="4" t="s">
        <v>328</v>
      </c>
      <c r="D63" s="3" t="s">
        <v>137</v>
      </c>
      <c r="E63" s="4" t="s">
        <v>329</v>
      </c>
      <c r="F63" s="3" t="n">
        <v>80</v>
      </c>
      <c r="G63" s="9" t="s">
        <v>86</v>
      </c>
      <c r="H63" s="4" t="s">
        <v>28</v>
      </c>
      <c r="I63" s="3"/>
      <c r="J63" s="3"/>
      <c r="K63" s="4"/>
      <c r="L63" s="6" t="s">
        <v>31</v>
      </c>
      <c r="M63" s="3"/>
      <c r="N63" s="3" t="s">
        <v>32</v>
      </c>
      <c r="O63" s="4" t="s">
        <v>330</v>
      </c>
      <c r="P63" s="3"/>
      <c r="Q63" s="3"/>
      <c r="R63" s="4"/>
      <c r="S63" s="4"/>
      <c r="T63" s="4" t="s">
        <v>142</v>
      </c>
      <c r="U63" s="4"/>
    </row>
    <row r="64" customFormat="false" ht="36" hidden="false" customHeight="true" outlineLevel="0" collapsed="false">
      <c r="A64" s="7" t="s">
        <v>331</v>
      </c>
      <c r="B64" s="8" t="s">
        <v>332</v>
      </c>
      <c r="C64" s="8" t="s">
        <v>333</v>
      </c>
      <c r="D64" s="7" t="s">
        <v>137</v>
      </c>
      <c r="E64" s="8" t="s">
        <v>334</v>
      </c>
      <c r="F64" s="7" t="n">
        <v>65</v>
      </c>
      <c r="G64" s="10" t="s">
        <v>139</v>
      </c>
      <c r="H64" s="8" t="s">
        <v>28</v>
      </c>
      <c r="I64" s="7"/>
      <c r="J64" s="7"/>
      <c r="K64" s="8"/>
      <c r="L64" s="6" t="s">
        <v>31</v>
      </c>
      <c r="M64" s="7"/>
      <c r="N64" s="7" t="s">
        <v>174</v>
      </c>
      <c r="O64" s="8" t="s">
        <v>335</v>
      </c>
      <c r="P64" s="7"/>
      <c r="Q64" s="7"/>
      <c r="R64" s="8"/>
      <c r="S64" s="8"/>
      <c r="T64" s="8" t="s">
        <v>176</v>
      </c>
      <c r="U64" s="8"/>
    </row>
    <row r="65" customFormat="false" ht="36" hidden="false" customHeight="true" outlineLevel="0" collapsed="false">
      <c r="A65" s="3" t="s">
        <v>336</v>
      </c>
      <c r="B65" s="4" t="s">
        <v>337</v>
      </c>
      <c r="C65" s="4" t="s">
        <v>338</v>
      </c>
      <c r="D65" s="3" t="s">
        <v>137</v>
      </c>
      <c r="E65" s="4" t="s">
        <v>236</v>
      </c>
      <c r="F65" s="3" t="n">
        <v>55</v>
      </c>
      <c r="G65" s="9" t="s">
        <v>86</v>
      </c>
      <c r="H65" s="4" t="s">
        <v>28</v>
      </c>
      <c r="I65" s="3"/>
      <c r="J65" s="3"/>
      <c r="K65" s="4"/>
      <c r="L65" s="6" t="s">
        <v>31</v>
      </c>
      <c r="M65" s="3"/>
      <c r="N65" s="3" t="s">
        <v>32</v>
      </c>
      <c r="O65" s="4" t="s">
        <v>339</v>
      </c>
      <c r="P65" s="3"/>
      <c r="Q65" s="3"/>
      <c r="R65" s="4"/>
      <c r="S65" s="4"/>
      <c r="T65" s="4" t="s">
        <v>142</v>
      </c>
      <c r="U65" s="4"/>
    </row>
    <row r="66" customFormat="false" ht="36" hidden="false" customHeight="true" outlineLevel="0" collapsed="false">
      <c r="A66" s="7" t="s">
        <v>340</v>
      </c>
      <c r="B66" s="8" t="s">
        <v>341</v>
      </c>
      <c r="C66" s="8" t="s">
        <v>342</v>
      </c>
      <c r="D66" s="7" t="s">
        <v>137</v>
      </c>
      <c r="E66" s="8" t="s">
        <v>329</v>
      </c>
      <c r="F66" s="7" t="n">
        <v>70</v>
      </c>
      <c r="G66" s="10" t="s">
        <v>139</v>
      </c>
      <c r="H66" s="8" t="s">
        <v>28</v>
      </c>
      <c r="I66" s="7"/>
      <c r="J66" s="7"/>
      <c r="K66" s="8"/>
      <c r="L66" s="6" t="s">
        <v>31</v>
      </c>
      <c r="M66" s="7"/>
      <c r="N66" s="7" t="s">
        <v>174</v>
      </c>
      <c r="O66" s="8" t="s">
        <v>343</v>
      </c>
      <c r="P66" s="7"/>
      <c r="Q66" s="7"/>
      <c r="R66" s="8"/>
      <c r="S66" s="8"/>
      <c r="T66" s="8" t="s">
        <v>176</v>
      </c>
      <c r="U66" s="8"/>
    </row>
    <row r="67" customFormat="false" ht="36" hidden="false" customHeight="true" outlineLevel="0" collapsed="false">
      <c r="A67" s="3" t="s">
        <v>344</v>
      </c>
      <c r="B67" s="4" t="s">
        <v>345</v>
      </c>
      <c r="C67" s="4" t="s">
        <v>346</v>
      </c>
      <c r="D67" s="3" t="s">
        <v>137</v>
      </c>
      <c r="E67" s="4" t="s">
        <v>46</v>
      </c>
      <c r="F67" s="3" t="n">
        <v>45</v>
      </c>
      <c r="G67" s="10" t="s">
        <v>139</v>
      </c>
      <c r="H67" s="4" t="s">
        <v>28</v>
      </c>
      <c r="I67" s="3"/>
      <c r="J67" s="3"/>
      <c r="K67" s="4"/>
      <c r="L67" s="6" t="s">
        <v>31</v>
      </c>
      <c r="M67" s="3"/>
      <c r="N67" s="3" t="s">
        <v>174</v>
      </c>
      <c r="O67" s="4" t="s">
        <v>347</v>
      </c>
      <c r="P67" s="3"/>
      <c r="Q67" s="3"/>
      <c r="R67" s="4"/>
      <c r="S67" s="4"/>
      <c r="T67" s="4" t="s">
        <v>176</v>
      </c>
      <c r="U67" s="4"/>
    </row>
    <row r="68" customFormat="false" ht="36" hidden="false" customHeight="true" outlineLevel="0" collapsed="false">
      <c r="A68" s="7" t="s">
        <v>348</v>
      </c>
      <c r="B68" s="8" t="s">
        <v>349</v>
      </c>
      <c r="C68" s="8" t="s">
        <v>350</v>
      </c>
      <c r="D68" s="7" t="s">
        <v>137</v>
      </c>
      <c r="E68" s="8" t="s">
        <v>46</v>
      </c>
      <c r="F68" s="7" t="n">
        <v>50</v>
      </c>
      <c r="G68" s="10" t="s">
        <v>139</v>
      </c>
      <c r="H68" s="8" t="s">
        <v>28</v>
      </c>
      <c r="I68" s="7"/>
      <c r="J68" s="7"/>
      <c r="K68" s="8"/>
      <c r="L68" s="6" t="s">
        <v>31</v>
      </c>
      <c r="M68" s="7"/>
      <c r="N68" s="7" t="s">
        <v>174</v>
      </c>
      <c r="O68" s="8" t="s">
        <v>351</v>
      </c>
      <c r="P68" s="7"/>
      <c r="Q68" s="7"/>
      <c r="R68" s="8"/>
      <c r="S68" s="8"/>
      <c r="T68" s="8" t="s">
        <v>176</v>
      </c>
      <c r="U68" s="8"/>
    </row>
    <row r="69" customFormat="false" ht="36" hidden="false" customHeight="true" outlineLevel="0" collapsed="false">
      <c r="A69" s="3" t="s">
        <v>352</v>
      </c>
      <c r="B69" s="4" t="s">
        <v>353</v>
      </c>
      <c r="C69" s="4" t="s">
        <v>354</v>
      </c>
      <c r="D69" s="3" t="s">
        <v>137</v>
      </c>
      <c r="E69" s="4" t="s">
        <v>46</v>
      </c>
      <c r="F69" s="3" t="n">
        <v>45</v>
      </c>
      <c r="G69" s="10" t="s">
        <v>139</v>
      </c>
      <c r="H69" s="4" t="s">
        <v>28</v>
      </c>
      <c r="I69" s="3"/>
      <c r="J69" s="3"/>
      <c r="K69" s="4"/>
      <c r="L69" s="6" t="s">
        <v>31</v>
      </c>
      <c r="M69" s="3"/>
      <c r="N69" s="3" t="s">
        <v>174</v>
      </c>
      <c r="O69" s="4" t="s">
        <v>355</v>
      </c>
      <c r="P69" s="3"/>
      <c r="Q69" s="3"/>
      <c r="R69" s="4"/>
      <c r="S69" s="4"/>
      <c r="T69" s="4" t="s">
        <v>176</v>
      </c>
      <c r="U69" s="4"/>
    </row>
    <row r="70" customFormat="false" ht="36" hidden="false" customHeight="true" outlineLevel="0" collapsed="false">
      <c r="A70" s="7" t="s">
        <v>356</v>
      </c>
      <c r="B70" s="8" t="s">
        <v>357</v>
      </c>
      <c r="C70" s="8" t="s">
        <v>358</v>
      </c>
      <c r="D70" s="7" t="s">
        <v>137</v>
      </c>
      <c r="E70" s="8" t="s">
        <v>46</v>
      </c>
      <c r="F70" s="7" t="n">
        <v>45</v>
      </c>
      <c r="G70" s="10" t="s">
        <v>139</v>
      </c>
      <c r="H70" s="8" t="s">
        <v>28</v>
      </c>
      <c r="I70" s="7"/>
      <c r="J70" s="7"/>
      <c r="K70" s="8"/>
      <c r="L70" s="6" t="s">
        <v>31</v>
      </c>
      <c r="M70" s="7"/>
      <c r="N70" s="7" t="s">
        <v>174</v>
      </c>
      <c r="O70" s="8" t="s">
        <v>359</v>
      </c>
      <c r="P70" s="7"/>
      <c r="Q70" s="7"/>
      <c r="R70" s="8"/>
      <c r="S70" s="8"/>
      <c r="T70" s="8" t="s">
        <v>176</v>
      </c>
      <c r="U70" s="8"/>
    </row>
    <row r="71" customFormat="false" ht="36" hidden="false" customHeight="true" outlineLevel="0" collapsed="false">
      <c r="A71" s="3" t="s">
        <v>360</v>
      </c>
      <c r="B71" s="4" t="s">
        <v>361</v>
      </c>
      <c r="C71" s="4" t="s">
        <v>328</v>
      </c>
      <c r="D71" s="3" t="s">
        <v>137</v>
      </c>
      <c r="E71" s="4" t="s">
        <v>46</v>
      </c>
      <c r="F71" s="3" t="n">
        <v>70</v>
      </c>
      <c r="G71" s="9" t="s">
        <v>86</v>
      </c>
      <c r="H71" s="4" t="s">
        <v>28</v>
      </c>
      <c r="I71" s="3"/>
      <c r="J71" s="3"/>
      <c r="K71" s="4"/>
      <c r="L71" s="6" t="s">
        <v>31</v>
      </c>
      <c r="M71" s="3"/>
      <c r="N71" s="3" t="s">
        <v>32</v>
      </c>
      <c r="O71" s="4" t="s">
        <v>362</v>
      </c>
      <c r="P71" s="3"/>
      <c r="Q71" s="3"/>
      <c r="R71" s="4"/>
      <c r="S71" s="4"/>
      <c r="T71" s="4" t="s">
        <v>142</v>
      </c>
      <c r="U71" s="4"/>
    </row>
    <row r="72" customFormat="false" ht="36" hidden="false" customHeight="true" outlineLevel="0" collapsed="false">
      <c r="A72" s="7" t="s">
        <v>363</v>
      </c>
      <c r="B72" s="8" t="s">
        <v>364</v>
      </c>
      <c r="C72" s="8" t="s">
        <v>365</v>
      </c>
      <c r="D72" s="7" t="s">
        <v>137</v>
      </c>
      <c r="E72" s="8" t="s">
        <v>46</v>
      </c>
      <c r="F72" s="7" t="n">
        <v>55</v>
      </c>
      <c r="G72" s="10" t="s">
        <v>139</v>
      </c>
      <c r="H72" s="8" t="s">
        <v>28</v>
      </c>
      <c r="I72" s="7"/>
      <c r="J72" s="7"/>
      <c r="K72" s="8"/>
      <c r="L72" s="6" t="s">
        <v>31</v>
      </c>
      <c r="M72" s="7"/>
      <c r="N72" s="7" t="s">
        <v>174</v>
      </c>
      <c r="O72" s="8" t="s">
        <v>366</v>
      </c>
      <c r="P72" s="7"/>
      <c r="Q72" s="7"/>
      <c r="R72" s="8"/>
      <c r="S72" s="8"/>
      <c r="T72" s="8" t="s">
        <v>176</v>
      </c>
      <c r="U72" s="8"/>
    </row>
    <row r="73" customFormat="false" ht="36" hidden="false" customHeight="true" outlineLevel="0" collapsed="false">
      <c r="A73" s="3" t="s">
        <v>367</v>
      </c>
      <c r="B73" s="4" t="s">
        <v>368</v>
      </c>
      <c r="C73" s="4" t="s">
        <v>369</v>
      </c>
      <c r="D73" s="3" t="s">
        <v>124</v>
      </c>
      <c r="E73" s="4" t="s">
        <v>113</v>
      </c>
      <c r="F73" s="3" t="n">
        <v>180</v>
      </c>
      <c r="G73" s="9" t="s">
        <v>86</v>
      </c>
      <c r="H73" s="4" t="s">
        <v>28</v>
      </c>
      <c r="I73" s="3"/>
      <c r="J73" s="3"/>
      <c r="K73" s="4"/>
      <c r="L73" s="6" t="s">
        <v>31</v>
      </c>
      <c r="M73" s="3"/>
      <c r="N73" s="3" t="s">
        <v>32</v>
      </c>
      <c r="O73" s="4" t="s">
        <v>370</v>
      </c>
      <c r="P73" s="3"/>
      <c r="Q73" s="3"/>
      <c r="R73" s="4"/>
      <c r="S73" s="4"/>
      <c r="T73" s="4" t="s">
        <v>96</v>
      </c>
      <c r="U73" s="4"/>
    </row>
    <row r="74" customFormat="false" ht="36" hidden="false" customHeight="true" outlineLevel="0" collapsed="false">
      <c r="A74" s="7" t="s">
        <v>371</v>
      </c>
      <c r="B74" s="8" t="s">
        <v>372</v>
      </c>
      <c r="C74" s="8" t="s">
        <v>373</v>
      </c>
      <c r="D74" s="7" t="s">
        <v>124</v>
      </c>
      <c r="E74" s="8" t="s">
        <v>113</v>
      </c>
      <c r="F74" s="7" t="n">
        <v>160</v>
      </c>
      <c r="G74" s="9" t="s">
        <v>86</v>
      </c>
      <c r="H74" s="8" t="s">
        <v>28</v>
      </c>
      <c r="I74" s="7"/>
      <c r="J74" s="7"/>
      <c r="K74" s="8"/>
      <c r="L74" s="6" t="s">
        <v>31</v>
      </c>
      <c r="M74" s="7"/>
      <c r="N74" s="7" t="s">
        <v>32</v>
      </c>
      <c r="O74" s="8" t="s">
        <v>374</v>
      </c>
      <c r="P74" s="7"/>
      <c r="Q74" s="7"/>
      <c r="R74" s="8"/>
      <c r="S74" s="8"/>
      <c r="T74" s="8" t="s">
        <v>96</v>
      </c>
      <c r="U74" s="8"/>
    </row>
    <row r="75" customFormat="false" ht="36" hidden="false" customHeight="true" outlineLevel="0" collapsed="false">
      <c r="A75" s="3" t="s">
        <v>375</v>
      </c>
      <c r="B75" s="4" t="s">
        <v>376</v>
      </c>
      <c r="C75" s="4" t="s">
        <v>377</v>
      </c>
      <c r="D75" s="3" t="s">
        <v>137</v>
      </c>
      <c r="E75" s="4" t="s">
        <v>113</v>
      </c>
      <c r="F75" s="3" t="n">
        <v>180</v>
      </c>
      <c r="G75" s="9" t="s">
        <v>86</v>
      </c>
      <c r="H75" s="4" t="s">
        <v>28</v>
      </c>
      <c r="I75" s="3"/>
      <c r="J75" s="3"/>
      <c r="K75" s="4"/>
      <c r="L75" s="6" t="s">
        <v>31</v>
      </c>
      <c r="M75" s="3"/>
      <c r="N75" s="3" t="s">
        <v>32</v>
      </c>
      <c r="O75" s="4" t="s">
        <v>378</v>
      </c>
      <c r="P75" s="3"/>
      <c r="Q75" s="3"/>
      <c r="R75" s="4"/>
      <c r="S75" s="4"/>
      <c r="T75" s="4" t="s">
        <v>142</v>
      </c>
      <c r="U75" s="4"/>
    </row>
    <row r="76" customFormat="false" ht="36" hidden="false" customHeight="true" outlineLevel="0" collapsed="false">
      <c r="A76" s="7" t="s">
        <v>379</v>
      </c>
      <c r="B76" s="8" t="s">
        <v>380</v>
      </c>
      <c r="C76" s="8" t="s">
        <v>219</v>
      </c>
      <c r="D76" s="7" t="s">
        <v>124</v>
      </c>
      <c r="E76" s="8" t="s">
        <v>118</v>
      </c>
      <c r="F76" s="7" t="n">
        <v>110</v>
      </c>
      <c r="G76" s="9" t="s">
        <v>86</v>
      </c>
      <c r="H76" s="8" t="s">
        <v>28</v>
      </c>
      <c r="I76" s="7"/>
      <c r="J76" s="7"/>
      <c r="K76" s="8"/>
      <c r="L76" s="6" t="s">
        <v>31</v>
      </c>
      <c r="M76" s="7"/>
      <c r="N76" s="7" t="s">
        <v>32</v>
      </c>
      <c r="O76" s="8" t="s">
        <v>381</v>
      </c>
      <c r="P76" s="7"/>
      <c r="Q76" s="7"/>
      <c r="R76" s="8"/>
      <c r="S76" s="8"/>
      <c r="T76" s="8" t="s">
        <v>96</v>
      </c>
      <c r="U76" s="8"/>
    </row>
    <row r="77" customFormat="false" ht="36" hidden="false" customHeight="true" outlineLevel="0" collapsed="false">
      <c r="A77" s="3" t="s">
        <v>382</v>
      </c>
      <c r="B77" s="4" t="s">
        <v>383</v>
      </c>
      <c r="C77" s="4" t="s">
        <v>384</v>
      </c>
      <c r="D77" s="3" t="s">
        <v>124</v>
      </c>
      <c r="E77" s="4" t="s">
        <v>46</v>
      </c>
      <c r="F77" s="3" t="n">
        <v>65</v>
      </c>
      <c r="G77" s="9" t="s">
        <v>86</v>
      </c>
      <c r="H77" s="4" t="s">
        <v>28</v>
      </c>
      <c r="I77" s="3"/>
      <c r="J77" s="3"/>
      <c r="K77" s="4"/>
      <c r="L77" s="6" t="s">
        <v>31</v>
      </c>
      <c r="M77" s="3"/>
      <c r="N77" s="3" t="s">
        <v>32</v>
      </c>
      <c r="O77" s="4" t="s">
        <v>385</v>
      </c>
      <c r="P77" s="3"/>
      <c r="Q77" s="3"/>
      <c r="R77" s="4"/>
      <c r="S77" s="4"/>
      <c r="T77" s="4" t="s">
        <v>142</v>
      </c>
      <c r="U77" s="4"/>
    </row>
    <row r="78" customFormat="false" ht="36" hidden="false" customHeight="true" outlineLevel="0" collapsed="false">
      <c r="A78" s="7" t="s">
        <v>386</v>
      </c>
      <c r="B78" s="8" t="s">
        <v>387</v>
      </c>
      <c r="C78" s="8" t="s">
        <v>388</v>
      </c>
      <c r="D78" s="7" t="s">
        <v>124</v>
      </c>
      <c r="E78" s="8" t="s">
        <v>389</v>
      </c>
      <c r="F78" s="7" t="n">
        <v>60</v>
      </c>
      <c r="G78" s="5" t="s">
        <v>27</v>
      </c>
      <c r="H78" s="8" t="s">
        <v>28</v>
      </c>
      <c r="I78" s="7"/>
      <c r="J78" s="7"/>
      <c r="K78" s="8" t="s">
        <v>390</v>
      </c>
      <c r="L78" s="6" t="s">
        <v>31</v>
      </c>
      <c r="M78" s="7"/>
      <c r="N78" s="7" t="s">
        <v>391</v>
      </c>
      <c r="O78" s="8" t="s">
        <v>392</v>
      </c>
      <c r="P78" s="7"/>
      <c r="Q78" s="7"/>
      <c r="R78" s="8"/>
      <c r="S78" s="8"/>
      <c r="T78" s="8" t="s">
        <v>393</v>
      </c>
      <c r="U78" s="8"/>
    </row>
    <row r="79" customFormat="false" ht="36" hidden="false" customHeight="true" outlineLevel="0" collapsed="false">
      <c r="A79" s="3" t="s">
        <v>394</v>
      </c>
      <c r="B79" s="4" t="s">
        <v>395</v>
      </c>
      <c r="C79" s="4" t="s">
        <v>396</v>
      </c>
      <c r="D79" s="3" t="s">
        <v>146</v>
      </c>
      <c r="E79" s="4" t="s">
        <v>397</v>
      </c>
      <c r="F79" s="3" t="n">
        <v>55</v>
      </c>
      <c r="G79" s="9" t="s">
        <v>86</v>
      </c>
      <c r="H79" s="4" t="s">
        <v>28</v>
      </c>
      <c r="I79" s="3"/>
      <c r="J79" s="3"/>
      <c r="K79" s="4"/>
      <c r="L79" s="6" t="s">
        <v>31</v>
      </c>
      <c r="M79" s="3"/>
      <c r="N79" s="3" t="s">
        <v>398</v>
      </c>
      <c r="O79" s="4" t="s">
        <v>399</v>
      </c>
      <c r="P79" s="3"/>
      <c r="Q79" s="3"/>
      <c r="R79" s="4"/>
      <c r="S79" s="4"/>
      <c r="T79" s="4" t="s">
        <v>400</v>
      </c>
      <c r="U79" s="4"/>
    </row>
    <row r="80" customFormat="false" ht="36" hidden="false" customHeight="true" outlineLevel="0" collapsed="false">
      <c r="A80" s="7" t="s">
        <v>401</v>
      </c>
      <c r="B80" s="8" t="s">
        <v>402</v>
      </c>
      <c r="C80" s="8" t="s">
        <v>403</v>
      </c>
      <c r="D80" s="7" t="s">
        <v>137</v>
      </c>
      <c r="E80" s="8" t="s">
        <v>397</v>
      </c>
      <c r="F80" s="7" t="n">
        <v>50</v>
      </c>
      <c r="G80" s="9" t="s">
        <v>86</v>
      </c>
      <c r="H80" s="8" t="s">
        <v>28</v>
      </c>
      <c r="I80" s="7"/>
      <c r="J80" s="7"/>
      <c r="K80" s="8"/>
      <c r="L80" s="6" t="s">
        <v>31</v>
      </c>
      <c r="M80" s="7"/>
      <c r="N80" s="7" t="s">
        <v>398</v>
      </c>
      <c r="O80" s="8" t="s">
        <v>404</v>
      </c>
      <c r="P80" s="7"/>
      <c r="Q80" s="7"/>
      <c r="R80" s="8"/>
      <c r="S80" s="8"/>
      <c r="T80" s="8" t="s">
        <v>400</v>
      </c>
      <c r="U80" s="8"/>
    </row>
    <row r="81" customFormat="false" ht="36" hidden="false" customHeight="true" outlineLevel="0" collapsed="false">
      <c r="A81" s="3" t="s">
        <v>405</v>
      </c>
      <c r="B81" s="4" t="s">
        <v>406</v>
      </c>
      <c r="C81" s="4" t="s">
        <v>407</v>
      </c>
      <c r="D81" s="3" t="s">
        <v>315</v>
      </c>
      <c r="E81" s="4" t="s">
        <v>408</v>
      </c>
      <c r="F81" s="3" t="n">
        <v>60</v>
      </c>
      <c r="G81" s="10" t="s">
        <v>139</v>
      </c>
      <c r="H81" s="4" t="s">
        <v>28</v>
      </c>
      <c r="I81" s="3"/>
      <c r="J81" s="3"/>
      <c r="K81" s="4"/>
      <c r="L81" s="6" t="s">
        <v>31</v>
      </c>
      <c r="M81" s="3"/>
      <c r="N81" s="3" t="s">
        <v>409</v>
      </c>
      <c r="O81" s="4" t="s">
        <v>410</v>
      </c>
      <c r="P81" s="3"/>
      <c r="Q81" s="3"/>
      <c r="R81" s="4"/>
      <c r="S81" s="4"/>
      <c r="T81" s="4" t="s">
        <v>411</v>
      </c>
      <c r="U81" s="4"/>
    </row>
    <row r="82" customFormat="false" ht="36" hidden="false" customHeight="true" outlineLevel="0" collapsed="false">
      <c r="A82" s="7" t="s">
        <v>412</v>
      </c>
      <c r="B82" s="8" t="s">
        <v>413</v>
      </c>
      <c r="C82" s="8" t="s">
        <v>414</v>
      </c>
      <c r="D82" s="7" t="s">
        <v>124</v>
      </c>
      <c r="E82" s="8" t="s">
        <v>415</v>
      </c>
      <c r="F82" s="7" t="n">
        <v>80</v>
      </c>
      <c r="G82" s="10" t="s">
        <v>139</v>
      </c>
      <c r="H82" s="8" t="s">
        <v>28</v>
      </c>
      <c r="I82" s="7"/>
      <c r="J82" s="7"/>
      <c r="K82" s="8"/>
      <c r="L82" s="6" t="s">
        <v>31</v>
      </c>
      <c r="M82" s="7"/>
      <c r="N82" s="7" t="s">
        <v>391</v>
      </c>
      <c r="O82" s="8" t="s">
        <v>416</v>
      </c>
      <c r="P82" s="7"/>
      <c r="Q82" s="7"/>
      <c r="R82" s="8"/>
      <c r="S82" s="8"/>
      <c r="T82" s="8" t="s">
        <v>417</v>
      </c>
      <c r="U82" s="8"/>
    </row>
    <row r="83" customFormat="false" ht="36" hidden="false" customHeight="true" outlineLevel="0" collapsed="false">
      <c r="A83" s="3" t="s">
        <v>418</v>
      </c>
      <c r="B83" s="4" t="s">
        <v>419</v>
      </c>
      <c r="C83" s="4" t="s">
        <v>85</v>
      </c>
      <c r="D83" s="3" t="s">
        <v>85</v>
      </c>
      <c r="E83" s="4" t="s">
        <v>46</v>
      </c>
      <c r="F83" s="3" t="n">
        <v>50</v>
      </c>
      <c r="G83" s="9" t="s">
        <v>86</v>
      </c>
      <c r="H83" s="4" t="s">
        <v>28</v>
      </c>
      <c r="I83" s="3"/>
      <c r="J83" s="3"/>
      <c r="K83" s="4"/>
      <c r="L83" s="6" t="s">
        <v>31</v>
      </c>
      <c r="M83" s="3"/>
      <c r="N83" s="3" t="s">
        <v>174</v>
      </c>
      <c r="O83" s="4" t="s">
        <v>420</v>
      </c>
      <c r="P83" s="3"/>
      <c r="Q83" s="3"/>
      <c r="R83" s="4"/>
      <c r="S83" s="4"/>
      <c r="T83" s="4" t="s">
        <v>142</v>
      </c>
      <c r="U83" s="4"/>
    </row>
    <row r="84" customFormat="false" ht="36" hidden="false" customHeight="true" outlineLevel="0" collapsed="false">
      <c r="A84" s="7" t="s">
        <v>421</v>
      </c>
      <c r="B84" s="8" t="s">
        <v>422</v>
      </c>
      <c r="C84" s="8" t="s">
        <v>252</v>
      </c>
      <c r="D84" s="7" t="s">
        <v>25</v>
      </c>
      <c r="E84" s="8" t="s">
        <v>46</v>
      </c>
      <c r="F84" s="7" t="n">
        <v>60</v>
      </c>
      <c r="G84" s="9" t="s">
        <v>86</v>
      </c>
      <c r="H84" s="8" t="s">
        <v>28</v>
      </c>
      <c r="I84" s="7"/>
      <c r="J84" s="7"/>
      <c r="K84" s="8"/>
      <c r="L84" s="6" t="s">
        <v>31</v>
      </c>
      <c r="M84" s="7"/>
      <c r="N84" s="7" t="s">
        <v>32</v>
      </c>
      <c r="O84" s="8" t="s">
        <v>423</v>
      </c>
      <c r="P84" s="7"/>
      <c r="Q84" s="7"/>
      <c r="R84" s="8"/>
      <c r="S84" s="8"/>
      <c r="T84" s="8" t="s">
        <v>142</v>
      </c>
      <c r="U84" s="8"/>
    </row>
    <row r="85" customFormat="false" ht="36" hidden="false" customHeight="true" outlineLevel="0" collapsed="false">
      <c r="A85" s="3" t="s">
        <v>424</v>
      </c>
      <c r="B85" s="4" t="s">
        <v>425</v>
      </c>
      <c r="C85" s="4" t="s">
        <v>426</v>
      </c>
      <c r="D85" s="3" t="s">
        <v>124</v>
      </c>
      <c r="E85" s="4" t="s">
        <v>118</v>
      </c>
      <c r="F85" s="3" t="n">
        <v>80</v>
      </c>
      <c r="G85" s="9" t="s">
        <v>86</v>
      </c>
      <c r="H85" s="4" t="s">
        <v>28</v>
      </c>
      <c r="I85" s="3"/>
      <c r="J85" s="3"/>
      <c r="K85" s="4"/>
      <c r="L85" s="6" t="s">
        <v>31</v>
      </c>
      <c r="M85" s="3"/>
      <c r="N85" s="3" t="s">
        <v>32</v>
      </c>
      <c r="O85" s="4" t="s">
        <v>427</v>
      </c>
      <c r="P85" s="3"/>
      <c r="Q85" s="3"/>
      <c r="R85" s="4"/>
      <c r="S85" s="4"/>
      <c r="T85" s="4" t="s">
        <v>142</v>
      </c>
      <c r="U85" s="4"/>
    </row>
    <row r="86" customFormat="false" ht="36" hidden="false" customHeight="true" outlineLevel="0" collapsed="false">
      <c r="A86" s="7" t="s">
        <v>428</v>
      </c>
      <c r="B86" s="8" t="s">
        <v>429</v>
      </c>
      <c r="C86" s="8" t="s">
        <v>430</v>
      </c>
      <c r="D86" s="7" t="s">
        <v>124</v>
      </c>
      <c r="E86" s="8" t="s">
        <v>38</v>
      </c>
      <c r="F86" s="7" t="n">
        <v>80</v>
      </c>
      <c r="G86" s="5" t="s">
        <v>27</v>
      </c>
      <c r="H86" s="8" t="s">
        <v>28</v>
      </c>
      <c r="I86" s="7"/>
      <c r="J86" s="7"/>
      <c r="K86" s="8"/>
      <c r="L86" s="6" t="s">
        <v>31</v>
      </c>
      <c r="M86" s="7"/>
      <c r="N86" s="7" t="s">
        <v>32</v>
      </c>
      <c r="O86" s="8" t="s">
        <v>431</v>
      </c>
      <c r="P86" s="7"/>
      <c r="Q86" s="7"/>
      <c r="R86" s="8"/>
      <c r="S86" s="8"/>
      <c r="T86" s="8" t="s">
        <v>96</v>
      </c>
      <c r="U86" s="8"/>
    </row>
    <row r="87" customFormat="false" ht="36" hidden="false" customHeight="true" outlineLevel="0" collapsed="false">
      <c r="A87" s="3" t="s">
        <v>432</v>
      </c>
      <c r="B87" s="4" t="s">
        <v>433</v>
      </c>
      <c r="C87" s="4" t="s">
        <v>231</v>
      </c>
      <c r="D87" s="3" t="s">
        <v>124</v>
      </c>
      <c r="E87" s="4" t="s">
        <v>46</v>
      </c>
      <c r="F87" s="3" t="n">
        <v>50</v>
      </c>
      <c r="G87" s="10" t="s">
        <v>139</v>
      </c>
      <c r="H87" s="4" t="s">
        <v>28</v>
      </c>
      <c r="I87" s="3"/>
      <c r="J87" s="3"/>
      <c r="K87" s="4"/>
      <c r="L87" s="6" t="s">
        <v>31</v>
      </c>
      <c r="M87" s="3"/>
      <c r="N87" s="3" t="s">
        <v>174</v>
      </c>
      <c r="O87" s="4" t="s">
        <v>434</v>
      </c>
      <c r="P87" s="3"/>
      <c r="Q87" s="3"/>
      <c r="R87" s="4"/>
      <c r="S87" s="4"/>
      <c r="T87" s="4" t="s">
        <v>176</v>
      </c>
      <c r="U87" s="4"/>
    </row>
    <row r="88" customFormat="false" ht="36" hidden="false" customHeight="true" outlineLevel="0" collapsed="false">
      <c r="A88" s="7" t="s">
        <v>435</v>
      </c>
      <c r="B88" s="8" t="s">
        <v>436</v>
      </c>
      <c r="C88" s="8" t="s">
        <v>437</v>
      </c>
      <c r="D88" s="7" t="s">
        <v>137</v>
      </c>
      <c r="E88" s="8" t="s">
        <v>46</v>
      </c>
      <c r="F88" s="7" t="n">
        <v>55</v>
      </c>
      <c r="G88" s="10" t="s">
        <v>139</v>
      </c>
      <c r="H88" s="8" t="s">
        <v>28</v>
      </c>
      <c r="I88" s="7"/>
      <c r="J88" s="7"/>
      <c r="K88" s="8"/>
      <c r="L88" s="6" t="s">
        <v>31</v>
      </c>
      <c r="M88" s="7"/>
      <c r="N88" s="7" t="s">
        <v>174</v>
      </c>
      <c r="O88" s="8" t="s">
        <v>438</v>
      </c>
      <c r="P88" s="7"/>
      <c r="Q88" s="7"/>
      <c r="R88" s="8"/>
      <c r="S88" s="8"/>
      <c r="T88" s="8" t="s">
        <v>176</v>
      </c>
      <c r="U88" s="8"/>
    </row>
    <row r="89" customFormat="false" ht="36" hidden="false" customHeight="true" outlineLevel="0" collapsed="false">
      <c r="A89" s="3" t="s">
        <v>439</v>
      </c>
      <c r="B89" s="4" t="s">
        <v>440</v>
      </c>
      <c r="C89" s="4" t="s">
        <v>441</v>
      </c>
      <c r="D89" s="3" t="s">
        <v>137</v>
      </c>
      <c r="E89" s="4" t="s">
        <v>46</v>
      </c>
      <c r="F89" s="3" t="n">
        <v>55</v>
      </c>
      <c r="G89" s="10" t="s">
        <v>139</v>
      </c>
      <c r="H89" s="4" t="s">
        <v>28</v>
      </c>
      <c r="I89" s="3"/>
      <c r="J89" s="3"/>
      <c r="K89" s="4"/>
      <c r="L89" s="6" t="s">
        <v>31</v>
      </c>
      <c r="M89" s="3"/>
      <c r="N89" s="3" t="s">
        <v>174</v>
      </c>
      <c r="O89" s="4" t="s">
        <v>442</v>
      </c>
      <c r="P89" s="3"/>
      <c r="Q89" s="3"/>
      <c r="R89" s="4"/>
      <c r="S89" s="4"/>
      <c r="T89" s="4" t="s">
        <v>176</v>
      </c>
      <c r="U89" s="4"/>
    </row>
    <row r="90" customFormat="false" ht="36" hidden="false" customHeight="true" outlineLevel="0" collapsed="false">
      <c r="A90" s="7" t="s">
        <v>443</v>
      </c>
      <c r="B90" s="8" t="s">
        <v>444</v>
      </c>
      <c r="C90" s="8" t="s">
        <v>445</v>
      </c>
      <c r="D90" s="7" t="s">
        <v>25</v>
      </c>
      <c r="E90" s="8" t="s">
        <v>46</v>
      </c>
      <c r="F90" s="7" t="n">
        <v>50</v>
      </c>
      <c r="G90" s="10" t="s">
        <v>139</v>
      </c>
      <c r="H90" s="8" t="s">
        <v>28</v>
      </c>
      <c r="I90" s="7"/>
      <c r="J90" s="7"/>
      <c r="K90" s="8"/>
      <c r="L90" s="6" t="s">
        <v>31</v>
      </c>
      <c r="M90" s="7"/>
      <c r="N90" s="7" t="s">
        <v>174</v>
      </c>
      <c r="O90" s="8" t="s">
        <v>446</v>
      </c>
      <c r="P90" s="7"/>
      <c r="Q90" s="7"/>
      <c r="R90" s="8"/>
      <c r="S90" s="8"/>
      <c r="T90" s="8" t="s">
        <v>176</v>
      </c>
      <c r="U90" s="8"/>
    </row>
    <row r="91" customFormat="false" ht="36" hidden="false" customHeight="true" outlineLevel="0" collapsed="false">
      <c r="A91" s="3" t="s">
        <v>447</v>
      </c>
      <c r="B91" s="4" t="s">
        <v>448</v>
      </c>
      <c r="C91" s="4" t="s">
        <v>449</v>
      </c>
      <c r="D91" s="3" t="s">
        <v>124</v>
      </c>
      <c r="E91" s="4" t="s">
        <v>118</v>
      </c>
      <c r="F91" s="3" t="n">
        <v>70</v>
      </c>
      <c r="G91" s="9" t="s">
        <v>86</v>
      </c>
      <c r="H91" s="4" t="s">
        <v>28</v>
      </c>
      <c r="I91" s="3"/>
      <c r="J91" s="3"/>
      <c r="K91" s="4" t="s">
        <v>450</v>
      </c>
      <c r="L91" s="6" t="s">
        <v>31</v>
      </c>
      <c r="M91" s="3"/>
      <c r="N91" s="3" t="s">
        <v>32</v>
      </c>
      <c r="O91" s="4" t="s">
        <v>451</v>
      </c>
      <c r="P91" s="3"/>
      <c r="Q91" s="3"/>
      <c r="R91" s="4"/>
      <c r="S91" s="4"/>
      <c r="T91" s="4" t="s">
        <v>96</v>
      </c>
      <c r="U91" s="4"/>
    </row>
    <row r="92" customFormat="false" ht="36" hidden="false" customHeight="true" outlineLevel="0" collapsed="false">
      <c r="A92" s="7" t="s">
        <v>452</v>
      </c>
      <c r="B92" s="8" t="s">
        <v>453</v>
      </c>
      <c r="C92" s="8" t="s">
        <v>60</v>
      </c>
      <c r="D92" s="7" t="s">
        <v>61</v>
      </c>
      <c r="E92" s="8" t="s">
        <v>46</v>
      </c>
      <c r="F92" s="7" t="n">
        <v>55</v>
      </c>
      <c r="G92" s="10" t="s">
        <v>139</v>
      </c>
      <c r="H92" s="8" t="s">
        <v>28</v>
      </c>
      <c r="I92" s="7" t="s">
        <v>454</v>
      </c>
      <c r="J92" s="7"/>
      <c r="K92" s="8"/>
      <c r="L92" s="6" t="s">
        <v>31</v>
      </c>
      <c r="M92" s="7"/>
      <c r="N92" s="7" t="s">
        <v>48</v>
      </c>
      <c r="O92" s="8" t="s">
        <v>455</v>
      </c>
      <c r="P92" s="7"/>
      <c r="Q92" s="7"/>
      <c r="R92" s="8"/>
      <c r="S92" s="8"/>
      <c r="T92" s="8" t="s">
        <v>456</v>
      </c>
      <c r="U92" s="8"/>
    </row>
    <row r="93" customFormat="false" ht="36" hidden="false" customHeight="true" outlineLevel="0" collapsed="false">
      <c r="A93" s="3" t="s">
        <v>457</v>
      </c>
      <c r="B93" s="4" t="s">
        <v>458</v>
      </c>
      <c r="C93" s="4" t="s">
        <v>244</v>
      </c>
      <c r="D93" s="3" t="s">
        <v>124</v>
      </c>
      <c r="E93" s="4" t="s">
        <v>118</v>
      </c>
      <c r="F93" s="3" t="n">
        <v>95</v>
      </c>
      <c r="G93" s="5" t="s">
        <v>27</v>
      </c>
      <c r="H93" s="4" t="s">
        <v>28</v>
      </c>
      <c r="I93" s="3"/>
      <c r="J93" s="3"/>
      <c r="K93" s="4"/>
      <c r="L93" s="6" t="s">
        <v>31</v>
      </c>
      <c r="M93" s="3"/>
      <c r="N93" s="3" t="s">
        <v>32</v>
      </c>
      <c r="O93" s="4" t="s">
        <v>459</v>
      </c>
      <c r="P93" s="3"/>
      <c r="Q93" s="3"/>
      <c r="R93" s="4"/>
      <c r="S93" s="4"/>
      <c r="T93" s="4" t="s">
        <v>96</v>
      </c>
      <c r="U93" s="4"/>
    </row>
    <row r="94" customFormat="false" ht="36" hidden="false" customHeight="true" outlineLevel="0" collapsed="false">
      <c r="A94" s="7" t="s">
        <v>460</v>
      </c>
      <c r="B94" s="8" t="s">
        <v>461</v>
      </c>
      <c r="C94" s="8" t="s">
        <v>60</v>
      </c>
      <c r="D94" s="7" t="s">
        <v>61</v>
      </c>
      <c r="E94" s="8" t="s">
        <v>113</v>
      </c>
      <c r="F94" s="7" t="n">
        <v>110</v>
      </c>
      <c r="G94" s="9" t="s">
        <v>86</v>
      </c>
      <c r="H94" s="8" t="s">
        <v>28</v>
      </c>
      <c r="I94" s="7"/>
      <c r="J94" s="7"/>
      <c r="K94" s="8"/>
      <c r="L94" s="6" t="s">
        <v>31</v>
      </c>
      <c r="M94" s="7"/>
      <c r="N94" s="7" t="s">
        <v>174</v>
      </c>
      <c r="O94" s="8" t="s">
        <v>462</v>
      </c>
      <c r="P94" s="7"/>
      <c r="Q94" s="7"/>
      <c r="R94" s="8"/>
      <c r="S94" s="8"/>
      <c r="T94" s="8" t="s">
        <v>96</v>
      </c>
      <c r="U94" s="8"/>
    </row>
    <row r="95" customFormat="false" ht="36" hidden="false" customHeight="true" outlineLevel="0" collapsed="false">
      <c r="A95" s="3" t="s">
        <v>463</v>
      </c>
      <c r="B95" s="4" t="s">
        <v>464</v>
      </c>
      <c r="C95" s="4" t="s">
        <v>60</v>
      </c>
      <c r="D95" s="3" t="s">
        <v>61</v>
      </c>
      <c r="E95" s="4" t="s">
        <v>113</v>
      </c>
      <c r="F95" s="3" t="n">
        <v>130</v>
      </c>
      <c r="G95" s="9" t="s">
        <v>86</v>
      </c>
      <c r="H95" s="4" t="s">
        <v>28</v>
      </c>
      <c r="I95" s="3"/>
      <c r="J95" s="3"/>
      <c r="K95" s="4"/>
      <c r="L95" s="6" t="s">
        <v>31</v>
      </c>
      <c r="M95" s="3"/>
      <c r="N95" s="3" t="s">
        <v>174</v>
      </c>
      <c r="O95" s="4" t="s">
        <v>465</v>
      </c>
      <c r="P95" s="3"/>
      <c r="Q95" s="3"/>
      <c r="R95" s="4"/>
      <c r="S95" s="4"/>
      <c r="T95" s="4" t="s">
        <v>96</v>
      </c>
      <c r="U95" s="4"/>
    </row>
    <row r="96" customFormat="false" ht="36" hidden="false" customHeight="true" outlineLevel="0" collapsed="false">
      <c r="A96" s="7" t="s">
        <v>466</v>
      </c>
      <c r="B96" s="8" t="s">
        <v>467</v>
      </c>
      <c r="C96" s="8" t="s">
        <v>468</v>
      </c>
      <c r="D96" s="7" t="s">
        <v>124</v>
      </c>
      <c r="E96" s="8" t="s">
        <v>113</v>
      </c>
      <c r="F96" s="7" t="n">
        <v>100</v>
      </c>
      <c r="G96" s="5" t="s">
        <v>27</v>
      </c>
      <c r="H96" s="8" t="s">
        <v>28</v>
      </c>
      <c r="I96" s="7"/>
      <c r="J96" s="7"/>
      <c r="K96" s="8"/>
      <c r="L96" s="6" t="s">
        <v>31</v>
      </c>
      <c r="M96" s="7"/>
      <c r="N96" s="7" t="s">
        <v>32</v>
      </c>
      <c r="O96" s="8" t="s">
        <v>469</v>
      </c>
      <c r="P96" s="7"/>
      <c r="Q96" s="7"/>
      <c r="R96" s="8"/>
      <c r="S96" s="8"/>
      <c r="T96" s="8" t="s">
        <v>96</v>
      </c>
      <c r="U96" s="8"/>
    </row>
    <row r="97" customFormat="false" ht="36" hidden="false" customHeight="true" outlineLevel="0" collapsed="false">
      <c r="A97" s="3" t="s">
        <v>470</v>
      </c>
      <c r="B97" s="4" t="s">
        <v>471</v>
      </c>
      <c r="C97" s="4" t="s">
        <v>472</v>
      </c>
      <c r="D97" s="3" t="s">
        <v>61</v>
      </c>
      <c r="E97" s="4" t="s">
        <v>473</v>
      </c>
      <c r="F97" s="3" t="n">
        <v>60</v>
      </c>
      <c r="G97" s="9" t="s">
        <v>86</v>
      </c>
      <c r="H97" s="4" t="s">
        <v>28</v>
      </c>
      <c r="I97" s="3"/>
      <c r="J97" s="3"/>
      <c r="K97" s="4"/>
      <c r="L97" s="6" t="s">
        <v>31</v>
      </c>
      <c r="M97" s="3"/>
      <c r="N97" s="3" t="s">
        <v>474</v>
      </c>
      <c r="O97" s="4" t="s">
        <v>475</v>
      </c>
      <c r="P97" s="3"/>
      <c r="Q97" s="3"/>
      <c r="R97" s="4"/>
      <c r="S97" s="4"/>
      <c r="T97" s="4" t="s">
        <v>400</v>
      </c>
      <c r="U97" s="4"/>
    </row>
    <row r="98" customFormat="false" ht="36" hidden="false" customHeight="true" outlineLevel="0" collapsed="false">
      <c r="A98" s="7" t="s">
        <v>476</v>
      </c>
      <c r="B98" s="8" t="s">
        <v>477</v>
      </c>
      <c r="C98" s="8" t="s">
        <v>478</v>
      </c>
      <c r="D98" s="7" t="s">
        <v>25</v>
      </c>
      <c r="E98" s="8" t="s">
        <v>473</v>
      </c>
      <c r="F98" s="7" t="n">
        <v>60</v>
      </c>
      <c r="G98" s="5" t="s">
        <v>27</v>
      </c>
      <c r="H98" s="8" t="s">
        <v>28</v>
      </c>
      <c r="I98" s="7"/>
      <c r="J98" s="7"/>
      <c r="K98" s="8"/>
      <c r="L98" s="6" t="s">
        <v>31</v>
      </c>
      <c r="M98" s="7"/>
      <c r="N98" s="7" t="s">
        <v>474</v>
      </c>
      <c r="O98" s="8" t="s">
        <v>479</v>
      </c>
      <c r="P98" s="7"/>
      <c r="Q98" s="7"/>
      <c r="R98" s="8"/>
      <c r="S98" s="8"/>
      <c r="T98" s="8" t="s">
        <v>393</v>
      </c>
      <c r="U98" s="8"/>
    </row>
    <row r="99" customFormat="false" ht="36" hidden="false" customHeight="true" outlineLevel="0" collapsed="false">
      <c r="A99" s="3" t="s">
        <v>480</v>
      </c>
      <c r="B99" s="4" t="s">
        <v>481</v>
      </c>
      <c r="C99" s="4" t="s">
        <v>482</v>
      </c>
      <c r="D99" s="3" t="s">
        <v>124</v>
      </c>
      <c r="E99" s="4" t="s">
        <v>118</v>
      </c>
      <c r="F99" s="3" t="n">
        <v>75</v>
      </c>
      <c r="G99" s="9" t="s">
        <v>86</v>
      </c>
      <c r="H99" s="4" t="s">
        <v>28</v>
      </c>
      <c r="I99" s="3"/>
      <c r="J99" s="3"/>
      <c r="K99" s="4"/>
      <c r="L99" s="6" t="s">
        <v>31</v>
      </c>
      <c r="M99" s="3"/>
      <c r="N99" s="3" t="s">
        <v>32</v>
      </c>
      <c r="O99" s="4" t="s">
        <v>483</v>
      </c>
      <c r="P99" s="3"/>
      <c r="Q99" s="3"/>
      <c r="R99" s="4"/>
      <c r="S99" s="4"/>
      <c r="T99" s="4" t="s">
        <v>96</v>
      </c>
      <c r="U99" s="4"/>
    </row>
    <row r="100" customFormat="false" ht="36" hidden="false" customHeight="true" outlineLevel="0" collapsed="false">
      <c r="A100" s="7" t="s">
        <v>484</v>
      </c>
      <c r="B100" s="8" t="s">
        <v>485</v>
      </c>
      <c r="C100" s="8" t="s">
        <v>486</v>
      </c>
      <c r="D100" s="7" t="s">
        <v>124</v>
      </c>
      <c r="E100" s="8" t="s">
        <v>290</v>
      </c>
      <c r="F100" s="7" t="n">
        <v>120</v>
      </c>
      <c r="G100" s="9" t="s">
        <v>86</v>
      </c>
      <c r="H100" s="8" t="s">
        <v>28</v>
      </c>
      <c r="I100" s="7"/>
      <c r="J100" s="7"/>
      <c r="K100" s="8"/>
      <c r="L100" s="6" t="s">
        <v>31</v>
      </c>
      <c r="M100" s="7"/>
      <c r="N100" s="7" t="s">
        <v>32</v>
      </c>
      <c r="O100" s="8" t="s">
        <v>487</v>
      </c>
      <c r="P100" s="7"/>
      <c r="Q100" s="7"/>
      <c r="R100" s="8"/>
      <c r="S100" s="8"/>
      <c r="T100" s="8" t="s">
        <v>96</v>
      </c>
      <c r="U100" s="8"/>
    </row>
    <row r="101" customFormat="false" ht="36" hidden="false" customHeight="true" outlineLevel="0" collapsed="false">
      <c r="A101" s="3" t="s">
        <v>488</v>
      </c>
      <c r="B101" s="4" t="s">
        <v>489</v>
      </c>
      <c r="C101" s="4" t="s">
        <v>490</v>
      </c>
      <c r="D101" s="3" t="s">
        <v>124</v>
      </c>
      <c r="E101" s="4" t="s">
        <v>118</v>
      </c>
      <c r="F101" s="3" t="n">
        <v>65</v>
      </c>
      <c r="G101" s="9" t="s">
        <v>86</v>
      </c>
      <c r="H101" s="4" t="s">
        <v>28</v>
      </c>
      <c r="I101" s="3"/>
      <c r="J101" s="3"/>
      <c r="K101" s="4"/>
      <c r="L101" s="6" t="s">
        <v>31</v>
      </c>
      <c r="M101" s="3"/>
      <c r="N101" s="3" t="s">
        <v>32</v>
      </c>
      <c r="O101" s="4" t="s">
        <v>491</v>
      </c>
      <c r="P101" s="3"/>
      <c r="Q101" s="3"/>
      <c r="R101" s="4"/>
      <c r="S101" s="4"/>
      <c r="T101" s="4" t="s">
        <v>96</v>
      </c>
      <c r="U101" s="4"/>
    </row>
    <row r="102" customFormat="false" ht="36" hidden="false" customHeight="true" outlineLevel="0" collapsed="false">
      <c r="A102" s="7" t="s">
        <v>492</v>
      </c>
      <c r="B102" s="8" t="s">
        <v>493</v>
      </c>
      <c r="C102" s="8" t="s">
        <v>494</v>
      </c>
      <c r="D102" s="7" t="s">
        <v>124</v>
      </c>
      <c r="E102" s="8" t="s">
        <v>113</v>
      </c>
      <c r="F102" s="7" t="n">
        <v>85</v>
      </c>
      <c r="G102" s="9" t="s">
        <v>86</v>
      </c>
      <c r="H102" s="8" t="s">
        <v>28</v>
      </c>
      <c r="I102" s="7"/>
      <c r="J102" s="7"/>
      <c r="K102" s="8"/>
      <c r="L102" s="6" t="s">
        <v>31</v>
      </c>
      <c r="M102" s="7"/>
      <c r="N102" s="7" t="s">
        <v>32</v>
      </c>
      <c r="O102" s="8" t="s">
        <v>495</v>
      </c>
      <c r="P102" s="7"/>
      <c r="Q102" s="7"/>
      <c r="R102" s="8"/>
      <c r="S102" s="8"/>
      <c r="T102" s="8" t="s">
        <v>142</v>
      </c>
      <c r="U102" s="8"/>
    </row>
  </sheetData>
  <autoFilter ref="A2:U102"/>
  <mergeCells count="1">
    <mergeCell ref="A1:U1"/>
  </mergeCells>
  <conditionalFormatting sqref="A3:U102">
    <cfRule type="containsText" priority="2" operator="containsText" aboveAverage="0" equalAverage="0" bottom="0" percent="0" rank="0" text="À contacter" dxfId="9">
      <formula>NOT(ISERROR(SEARCH("À contacter",A3)))</formula>
    </cfRule>
    <cfRule type="containsText" priority="3" operator="containsText" aboveAverage="0" equalAverage="0" bottom="0" percent="0" rank="0" text="RDV pris" dxfId="10">
      <formula>NOT(ISERROR(SEARCH("RDV pris",A3)))</formula>
    </cfRule>
    <cfRule type="containsText" priority="4" operator="containsText" aboveAverage="0" equalAverage="0" bottom="0" percent="0" rank="0" text="Démo faite" dxfId="11">
      <formula>NOT(ISERROR(SEARCH("Démo faite",A3)))</formula>
    </cfRule>
    <cfRule type="containsText" priority="5" operator="containsText" aboveAverage="0" equalAverage="0" bottom="0" percent="0" rank="0" text="Pilote en cours" dxfId="12">
      <formula>NOT(ISERROR(SEARCH("Pilote en cours",A3)))</formula>
    </cfRule>
    <cfRule type="containsText" priority="6" operator="containsText" aboveAverage="0" equalAverage="0" bottom="0" percent="0" rank="0" text="Gagné" dxfId="13">
      <formula>NOT(ISERROR(SEARCH("Gagné",A3)))</formula>
    </cfRule>
    <cfRule type="containsText" priority="7" operator="containsText" aboveAverage="0" equalAverage="0" bottom="0" percent="0" rank="0" text="Perdu" dxfId="14">
      <formula>NOT(ISERROR(SEARCH("Perdu",A3)))</formula>
    </cfRule>
  </conditionalFormatting>
  <dataValidations count="3">
    <dataValidation allowBlank="true" errorStyle="stop" operator="between" showDropDown="false" showErrorMessage="false" showInputMessage="false" sqref="L3:L102" type="list">
      <formula1>"À contacter,RDV pris,Démo faite,Pilote en cours,Gagné,Perdu"</formula1>
      <formula2>0</formula2>
    </dataValidation>
    <dataValidation allowBlank="true" errorStyle="stop" operator="between" showDropDown="false" showErrorMessage="false" showInputMessage="false" sqref="G3:G102" type="list">
      <formula1>"A,B,C"</formula1>
      <formula2>0</formula2>
    </dataValidation>
    <dataValidation allowBlank="true" errorStyle="stop" operator="between" showDropDown="false" showErrorMessage="false" showInputMessage="false" sqref="N3:N102" type="list">
      <formula1>"Porte à porte,Appel d'abord,WhatsApp,Recommandation,Facebook/DM,Site web,Réseau,Réseau B2B,Réseau ONG,Terrain"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8"/>
  </cols>
  <sheetData>
    <row r="1" customFormat="false" ht="25.5" hidden="false" customHeight="true" outlineLevel="0" collapsed="false">
      <c r="A1" s="11" t="s">
        <v>496</v>
      </c>
      <c r="B1" s="11"/>
      <c r="C1" s="11"/>
      <c r="D1" s="11"/>
      <c r="E1" s="11"/>
    </row>
    <row r="2" customFormat="false" ht="15" hidden="false" customHeight="false" outlineLevel="0" collapsed="false">
      <c r="A2" s="12" t="s">
        <v>497</v>
      </c>
      <c r="B2" s="12"/>
      <c r="C2" s="12"/>
      <c r="D2" s="12"/>
      <c r="E2" s="12"/>
    </row>
    <row r="4" customFormat="false" ht="21.75" hidden="false" customHeight="true" outlineLevel="0" collapsed="false">
      <c r="A4" s="13" t="s">
        <v>498</v>
      </c>
      <c r="B4" s="13" t="s">
        <v>499</v>
      </c>
      <c r="C4" s="13" t="s">
        <v>500</v>
      </c>
      <c r="D4" s="14" t="s">
        <v>7</v>
      </c>
      <c r="E4" s="14" t="s">
        <v>499</v>
      </c>
    </row>
    <row r="5" customFormat="false" ht="25.5" hidden="false" customHeight="true" outlineLevel="0" collapsed="false">
      <c r="A5" s="15" t="s">
        <v>31</v>
      </c>
      <c r="B5" s="16" t="n">
        <f aca="false">COUNTIF('Prospection 100 Crèches'!L:L,"À contacter")</f>
        <v>100</v>
      </c>
      <c r="C5" s="17" t="n">
        <f aca="false">IFERROR(B5/100,"—")</f>
        <v>1</v>
      </c>
      <c r="D5" s="18" t="s">
        <v>501</v>
      </c>
      <c r="E5" s="19" t="n">
        <f aca="false">COUNTIF('Prospection 100 Crèches'!G:G,"A")</f>
        <v>27</v>
      </c>
    </row>
    <row r="6" customFormat="false" ht="25.5" hidden="false" customHeight="true" outlineLevel="0" collapsed="false">
      <c r="A6" s="20" t="s">
        <v>502</v>
      </c>
      <c r="B6" s="16" t="n">
        <f aca="false">COUNTIF('Prospection 100 Crèches'!L:L,"RDV pris")</f>
        <v>0</v>
      </c>
      <c r="C6" s="17" t="n">
        <f aca="false">IFERROR(B6/100,"—")</f>
        <v>0</v>
      </c>
      <c r="D6" s="21" t="s">
        <v>503</v>
      </c>
      <c r="E6" s="19" t="n">
        <f aca="false">COUNTIF('Prospection 100 Crèches'!G:G,"B")</f>
        <v>49</v>
      </c>
    </row>
    <row r="7" customFormat="false" ht="25.5" hidden="false" customHeight="true" outlineLevel="0" collapsed="false">
      <c r="A7" s="22" t="s">
        <v>504</v>
      </c>
      <c r="B7" s="16" t="n">
        <f aca="false">COUNTIF('Prospection 100 Crèches'!L:L,"Démo faite")</f>
        <v>0</v>
      </c>
      <c r="C7" s="17" t="n">
        <f aca="false">IFERROR(B7/100,"—")</f>
        <v>0</v>
      </c>
      <c r="D7" s="23" t="s">
        <v>505</v>
      </c>
      <c r="E7" s="19" t="n">
        <f aca="false">COUNTIF('Prospection 100 Crèches'!G:G,"C")</f>
        <v>24</v>
      </c>
    </row>
    <row r="8" customFormat="false" ht="25.5" hidden="false" customHeight="true" outlineLevel="0" collapsed="false">
      <c r="A8" s="24" t="s">
        <v>506</v>
      </c>
      <c r="B8" s="16" t="n">
        <f aca="false">COUNTIF('Prospection 100 Crèches'!L:L,"Pilote en cours")</f>
        <v>0</v>
      </c>
      <c r="C8" s="17" t="n">
        <f aca="false">IFERROR(B8/100,"—")</f>
        <v>0</v>
      </c>
    </row>
    <row r="9" customFormat="false" ht="25.5" hidden="false" customHeight="true" outlineLevel="0" collapsed="false">
      <c r="A9" s="25" t="s">
        <v>507</v>
      </c>
      <c r="B9" s="16" t="n">
        <f aca="false">COUNTIF('Prospection 100 Crèches'!L:L,"Gagné")</f>
        <v>0</v>
      </c>
      <c r="C9" s="17" t="n">
        <f aca="false">IFERROR(B9/100,"—")</f>
        <v>0</v>
      </c>
      <c r="D9" s="14" t="s">
        <v>4</v>
      </c>
      <c r="E9" s="26" t="s">
        <v>508</v>
      </c>
    </row>
    <row r="10" customFormat="false" ht="21.75" hidden="false" customHeight="true" outlineLevel="0" collapsed="false">
      <c r="A10" s="27" t="s">
        <v>509</v>
      </c>
      <c r="B10" s="16" t="n">
        <f aca="false">COUNTIF('Prospection 100 Crèches'!L:L,"Perdu")</f>
        <v>0</v>
      </c>
      <c r="C10" s="17" t="n">
        <f aca="false">IFERROR(B10/100,"—")</f>
        <v>0</v>
      </c>
      <c r="D10" s="28" t="s">
        <v>124</v>
      </c>
      <c r="E10" s="29" t="n">
        <f aca="false">COUNTIF('Prospection 100 Crèches'!D:D,"*Baskuy*")</f>
        <v>36</v>
      </c>
    </row>
    <row r="11" customFormat="false" ht="21.75" hidden="false" customHeight="true" outlineLevel="0" collapsed="false">
      <c r="A11" s="30" t="s">
        <v>510</v>
      </c>
      <c r="B11" s="31" t="n">
        <f aca="false">COUNTA('Prospection 100 Crèches'!L3:L102)</f>
        <v>100</v>
      </c>
      <c r="D11" s="32" t="s">
        <v>25</v>
      </c>
      <c r="E11" s="29" t="n">
        <f aca="false">COUNTIF('Prospection 100 Crèches'!D:D,"*Boulmiougou*")</f>
        <v>13</v>
      </c>
    </row>
    <row r="12" customFormat="false" ht="21.75" hidden="false" customHeight="true" outlineLevel="0" collapsed="false">
      <c r="D12" s="28" t="s">
        <v>146</v>
      </c>
      <c r="E12" s="29" t="n">
        <f aca="false">COUNTIF('Prospection 100 Crèches'!D:D,"*Bogodogo*")</f>
        <v>9</v>
      </c>
    </row>
    <row r="13" customFormat="false" ht="21.75" hidden="false" customHeight="true" outlineLevel="0" collapsed="false">
      <c r="D13" s="32" t="s">
        <v>137</v>
      </c>
      <c r="E13" s="29" t="n">
        <f aca="false">COUNTIF('Prospection 100 Crèches'!D:D,"*Nongremassom*")</f>
        <v>18</v>
      </c>
    </row>
    <row r="14" customFormat="false" ht="21.75" hidden="false" customHeight="true" outlineLevel="0" collapsed="false">
      <c r="D14" s="28" t="s">
        <v>315</v>
      </c>
      <c r="E14" s="29" t="n">
        <f aca="false">COUNTIF('Prospection 100 Crèches'!D:D,"*Sig-Nonghin*")</f>
        <v>4</v>
      </c>
    </row>
    <row r="15" customFormat="false" ht="21.75" hidden="false" customHeight="true" outlineLevel="0" collapsed="false">
      <c r="D15" s="32" t="s">
        <v>85</v>
      </c>
      <c r="E15" s="29" t="n">
        <f aca="false">COUNTIF('Prospection 100 Crèches'!D:D,"*Saaba*")</f>
        <v>3</v>
      </c>
    </row>
    <row r="17" customFormat="false" ht="9.75" hidden="false" customHeight="true" outlineLevel="0" collapsed="false"/>
    <row r="18" customFormat="false" ht="21.75" hidden="false" customHeight="true" outlineLevel="0" collapsed="false">
      <c r="A18" s="33" t="s">
        <v>511</v>
      </c>
      <c r="B18" s="33"/>
      <c r="C18" s="33"/>
    </row>
    <row r="19" customFormat="false" ht="24" hidden="false" customHeight="true" outlineLevel="0" collapsed="false">
      <c r="A19" s="34" t="s">
        <v>512</v>
      </c>
      <c r="B19" s="34"/>
      <c r="C19" s="35" t="n">
        <f aca="false">IFERROR(COUNTIF('Prospection 100 Crèches'!L:L,"Gagné")/100,"0%")</f>
        <v>0</v>
      </c>
    </row>
    <row r="20" customFormat="false" ht="24" hidden="false" customHeight="true" outlineLevel="0" collapsed="false">
      <c r="A20" s="34" t="s">
        <v>513</v>
      </c>
      <c r="B20" s="34"/>
      <c r="C20" s="36" t="n">
        <f aca="false">COUNTIF('Prospection 100 Crèches'!L:L,"RDV pris")+COUNTIF('Prospection 100 Crèches'!L:L,"Démo faite")+COUNTIF('Prospection 100 Crèches'!L:L,"Pilote en cours")</f>
        <v>0</v>
      </c>
    </row>
    <row r="21" customFormat="false" ht="24" hidden="false" customHeight="true" outlineLevel="0" collapsed="false">
      <c r="A21" s="34" t="s">
        <v>514</v>
      </c>
      <c r="B21" s="34"/>
      <c r="C21" s="36" t="n">
        <f aca="false">COUNTBLANK('Prospection 100 Crèches'!T3:T102)</f>
        <v>0</v>
      </c>
    </row>
    <row r="22" customFormat="false" ht="24" hidden="false" customHeight="true" outlineLevel="0" collapsed="false">
      <c r="A22" s="34" t="s">
        <v>515</v>
      </c>
      <c r="B22" s="34"/>
      <c r="C22" s="36" t="n">
        <f aca="false">COUNTIF('Prospection 100 Crèches'!L:L,"Pilote en cours")</f>
        <v>0</v>
      </c>
    </row>
    <row r="23" customFormat="false" ht="24" hidden="false" customHeight="true" outlineLevel="0" collapsed="false">
      <c r="A23" s="34" t="s">
        <v>516</v>
      </c>
      <c r="B23" s="34"/>
      <c r="C23" s="36" t="n">
        <f aca="false">COUNTIF('Prospection 100 Crèches'!O:O,"✅*")</f>
        <v>39</v>
      </c>
    </row>
  </sheetData>
  <mergeCells count="8">
    <mergeCell ref="A1:E1"/>
    <mergeCell ref="A2:E2"/>
    <mergeCell ref="A18:C18"/>
    <mergeCell ref="A19:B19"/>
    <mergeCell ref="A20:B20"/>
    <mergeCell ref="A21:B21"/>
    <mergeCell ref="A22:B22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50"/>
    <col collapsed="false" customWidth="true" hidden="false" outlineLevel="0" max="4" min="4" style="0" width="20"/>
  </cols>
  <sheetData>
    <row r="1" customFormat="false" ht="25.5" hidden="false" customHeight="true" outlineLevel="0" collapsed="false">
      <c r="A1" s="11" t="s">
        <v>517</v>
      </c>
      <c r="B1" s="11"/>
      <c r="C1" s="11"/>
      <c r="D1" s="11"/>
    </row>
    <row r="3" customFormat="false" ht="19.5" hidden="false" customHeight="true" outlineLevel="0" collapsed="false">
      <c r="A3" s="37" t="s">
        <v>518</v>
      </c>
      <c r="B3" s="37"/>
      <c r="C3" s="37"/>
      <c r="D3" s="37"/>
    </row>
    <row r="4" customFormat="false" ht="19.5" hidden="false" customHeight="true" outlineLevel="0" collapsed="false">
      <c r="A4" s="15" t="s">
        <v>31</v>
      </c>
      <c r="B4" s="38" t="s">
        <v>519</v>
      </c>
      <c r="C4" s="39" t="s">
        <v>520</v>
      </c>
    </row>
    <row r="5" customFormat="false" ht="19.5" hidden="false" customHeight="true" outlineLevel="0" collapsed="false">
      <c r="A5" s="20" t="s">
        <v>502</v>
      </c>
      <c r="B5" s="38" t="s">
        <v>519</v>
      </c>
      <c r="C5" s="39" t="s">
        <v>521</v>
      </c>
    </row>
    <row r="6" customFormat="false" ht="19.5" hidden="false" customHeight="true" outlineLevel="0" collapsed="false">
      <c r="A6" s="22" t="s">
        <v>504</v>
      </c>
      <c r="B6" s="38" t="s">
        <v>519</v>
      </c>
      <c r="C6" s="39" t="s">
        <v>522</v>
      </c>
    </row>
    <row r="7" customFormat="false" ht="19.5" hidden="false" customHeight="true" outlineLevel="0" collapsed="false">
      <c r="A7" s="24" t="s">
        <v>506</v>
      </c>
      <c r="B7" s="38" t="s">
        <v>519</v>
      </c>
      <c r="C7" s="39" t="s">
        <v>523</v>
      </c>
    </row>
    <row r="8" customFormat="false" ht="19.5" hidden="false" customHeight="true" outlineLevel="0" collapsed="false">
      <c r="A8" s="25" t="s">
        <v>507</v>
      </c>
      <c r="B8" s="38" t="s">
        <v>519</v>
      </c>
      <c r="C8" s="39" t="s">
        <v>524</v>
      </c>
    </row>
    <row r="9" customFormat="false" ht="19.5" hidden="false" customHeight="true" outlineLevel="0" collapsed="false">
      <c r="A9" s="27" t="s">
        <v>509</v>
      </c>
      <c r="B9" s="38" t="s">
        <v>519</v>
      </c>
      <c r="C9" s="39" t="s">
        <v>525</v>
      </c>
    </row>
    <row r="12" customFormat="false" ht="21.75" hidden="false" customHeight="true" outlineLevel="0" collapsed="false">
      <c r="A12" s="33" t="s">
        <v>526</v>
      </c>
      <c r="B12" s="33"/>
      <c r="C12" s="33"/>
      <c r="D12" s="33"/>
    </row>
    <row r="13" customFormat="false" ht="37.5" hidden="false" customHeight="true" outlineLevel="0" collapsed="false">
      <c r="A13" s="40" t="s">
        <v>527</v>
      </c>
      <c r="B13" s="41" t="s">
        <v>528</v>
      </c>
      <c r="C13" s="42" t="s">
        <v>529</v>
      </c>
    </row>
    <row r="14" customFormat="false" ht="37.5" hidden="false" customHeight="true" outlineLevel="0" collapsed="false">
      <c r="A14" s="40" t="s">
        <v>530</v>
      </c>
      <c r="B14" s="41" t="s">
        <v>531</v>
      </c>
      <c r="C14" s="42" t="s">
        <v>532</v>
      </c>
    </row>
    <row r="15" customFormat="false" ht="37.5" hidden="false" customHeight="true" outlineLevel="0" collapsed="false">
      <c r="A15" s="40" t="s">
        <v>533</v>
      </c>
      <c r="B15" s="41" t="s">
        <v>534</v>
      </c>
      <c r="C15" s="42" t="s">
        <v>535</v>
      </c>
    </row>
    <row r="16" customFormat="false" ht="37.5" hidden="false" customHeight="true" outlineLevel="0" collapsed="false">
      <c r="A16" s="40" t="s">
        <v>536</v>
      </c>
      <c r="B16" s="41" t="s">
        <v>537</v>
      </c>
      <c r="C16" s="42" t="s">
        <v>538</v>
      </c>
    </row>
    <row r="17" customFormat="false" ht="37.5" hidden="false" customHeight="true" outlineLevel="0" collapsed="false">
      <c r="A17" s="40" t="s">
        <v>539</v>
      </c>
      <c r="B17" s="41" t="s">
        <v>540</v>
      </c>
      <c r="C17" s="42" t="s">
        <v>541</v>
      </c>
    </row>
    <row r="20" customFormat="false" ht="21.75" hidden="false" customHeight="true" outlineLevel="0" collapsed="false">
      <c r="A20" s="43" t="s">
        <v>542</v>
      </c>
      <c r="B20" s="43"/>
      <c r="C20" s="43"/>
      <c r="D20" s="43"/>
    </row>
    <row r="21" customFormat="false" ht="37.5" hidden="false" customHeight="true" outlineLevel="0" collapsed="false">
      <c r="A21" s="40" t="s">
        <v>543</v>
      </c>
      <c r="B21" s="41" t="s">
        <v>544</v>
      </c>
      <c r="C21" s="42" t="s">
        <v>545</v>
      </c>
    </row>
    <row r="22" customFormat="false" ht="37.5" hidden="false" customHeight="true" outlineLevel="0" collapsed="false">
      <c r="A22" s="44" t="s">
        <v>546</v>
      </c>
      <c r="B22" s="41" t="s">
        <v>547</v>
      </c>
      <c r="C22" s="42" t="s">
        <v>548</v>
      </c>
    </row>
    <row r="23" customFormat="false" ht="37.5" hidden="false" customHeight="true" outlineLevel="0" collapsed="false">
      <c r="A23" s="40" t="s">
        <v>549</v>
      </c>
      <c r="B23" s="41" t="s">
        <v>550</v>
      </c>
      <c r="C23" s="42" t="s">
        <v>551</v>
      </c>
    </row>
    <row r="24" customFormat="false" ht="37.5" hidden="false" customHeight="true" outlineLevel="0" collapsed="false">
      <c r="A24" s="44" t="s">
        <v>552</v>
      </c>
      <c r="B24" s="41" t="s">
        <v>553</v>
      </c>
      <c r="C24" s="42" t="s">
        <v>554</v>
      </c>
    </row>
    <row r="25" customFormat="false" ht="37.5" hidden="false" customHeight="true" outlineLevel="0" collapsed="false">
      <c r="A25" s="40" t="s">
        <v>555</v>
      </c>
      <c r="B25" s="41" t="s">
        <v>556</v>
      </c>
      <c r="C25" s="42" t="s">
        <v>557</v>
      </c>
    </row>
  </sheetData>
  <mergeCells count="4">
    <mergeCell ref="A1:D1"/>
    <mergeCell ref="A3:D3"/>
    <mergeCell ref="A12:D12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2026-07-28T09:03:03Z</dcterms:created>
  <dc:creator>openpyxl</dc:creator>
  <dc:description/>
  <dc:language>en-US</dc:language>
  <cp:lastModifiedBy/>
  <dcterms:modified xsi:type="dcterms:W3CDTF">2026-07-28T09:03:03Z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